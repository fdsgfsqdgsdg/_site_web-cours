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relienruppe/Library/Mobile Documents/com~apple~CloudDocs/Cours/CY Tech/ING1/S2/Gestion de l'entreprise/"/>
    </mc:Choice>
  </mc:AlternateContent>
  <xr:revisionPtr revIDLastSave="0" documentId="13_ncr:1_{7FFFB31A-DD4D-6645-8C62-2597F259DF4A}" xr6:coauthVersionLast="47" xr6:coauthVersionMax="47" xr10:uidLastSave="{00000000-0000-0000-0000-000000000000}"/>
  <bookViews>
    <workbookView xWindow="0" yWindow="500" windowWidth="28800" windowHeight="17500" firstSheet="11" activeTab="15" xr2:uid="{12010888-E87B-1F48-9F03-89A11909EC7A}"/>
  </bookViews>
  <sheets>
    <sheet name="ch1-Application 1" sheetId="1" r:id="rId1"/>
    <sheet name="ch1-Application 2" sheetId="2" r:id="rId2"/>
    <sheet name="ch1-Application 3" sheetId="4" r:id="rId3"/>
    <sheet name="ch1-Application 4" sheetId="5" r:id="rId4"/>
    <sheet name="ch1-Application 5" sheetId="6" r:id="rId5"/>
    <sheet name="ch1-etudeCas" sheetId="9" r:id="rId6"/>
    <sheet name="ch2-facture" sheetId="3" r:id="rId7"/>
    <sheet name="ch2-facture1&amp;2&amp;3-A" sheetId="8" r:id="rId8"/>
    <sheet name="ch2-facture B" sheetId="7" r:id="rId9"/>
    <sheet name="Ch3-ex" sheetId="10" r:id="rId10"/>
    <sheet name="ch3-étudeCasCours" sheetId="11" r:id="rId11"/>
    <sheet name="Ch3-ex1" sheetId="12" r:id="rId12"/>
    <sheet name="Ch3-ex2" sheetId="13" r:id="rId13"/>
    <sheet name="Ch3-ex3" sheetId="16" r:id="rId14"/>
    <sheet name="Ch3-ex4" sheetId="17" r:id="rId15"/>
    <sheet name="Ch3-ex5" sheetId="18" r:id="rId16"/>
    <sheet name="Ch4" sheetId="14" r:id="rId17"/>
    <sheet name="Ch4-Appli1" sheetId="15" r:id="rId18"/>
    <sheet name="Ch4-Appli2" sheetId="19" r:id="rId19"/>
    <sheet name="Ch4-Appli3" sheetId="20" r:id="rId20"/>
    <sheet name="TestEval" sheetId="21" r:id="rId21"/>
    <sheet name="Ch5-ex1" sheetId="22" r:id="rId22"/>
    <sheet name="Ch5-ex2" sheetId="23" r:id="rId23"/>
    <sheet name="Ch6-ex1" sheetId="24" r:id="rId24"/>
    <sheet name="Ch6-ex2" sheetId="25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8" l="1"/>
  <c r="B22" i="17"/>
  <c r="C18" i="13"/>
  <c r="C17" i="13"/>
  <c r="C21" i="13"/>
  <c r="C16" i="13"/>
  <c r="D11" i="13"/>
  <c r="C16" i="11"/>
  <c r="G9" i="11" l="1"/>
  <c r="AC29" i="24"/>
  <c r="AC12" i="24"/>
  <c r="AC23" i="24"/>
  <c r="X31" i="24"/>
  <c r="Y31" i="24"/>
  <c r="W31" i="24"/>
  <c r="X25" i="24"/>
  <c r="Y25" i="24"/>
  <c r="W25" i="24"/>
  <c r="Y24" i="24"/>
  <c r="W30" i="24"/>
  <c r="W24" i="24"/>
  <c r="Y29" i="24"/>
  <c r="Y23" i="24"/>
  <c r="AB11" i="24"/>
  <c r="X11" i="24"/>
  <c r="W10" i="24"/>
  <c r="Y10" i="24" s="1"/>
  <c r="AC9" i="24"/>
  <c r="Y9" i="24"/>
  <c r="AB10" i="24"/>
  <c r="X10" i="24"/>
  <c r="AC8" i="24"/>
  <c r="Y8" i="24"/>
  <c r="AC7" i="24"/>
  <c r="Y7" i="24"/>
  <c r="AA6" i="24"/>
  <c r="Y5" i="24"/>
  <c r="W6" i="24"/>
  <c r="W11" i="24" s="1"/>
  <c r="Y11" i="24" s="1"/>
  <c r="AC5" i="24"/>
  <c r="R25" i="24"/>
  <c r="R24" i="24"/>
  <c r="L26" i="24"/>
  <c r="N24" i="24"/>
  <c r="R21" i="24"/>
  <c r="R20" i="24"/>
  <c r="L22" i="24"/>
  <c r="N20" i="24"/>
  <c r="R17" i="24"/>
  <c r="L18" i="24"/>
  <c r="N16" i="24"/>
  <c r="N18" i="24" s="1"/>
  <c r="R7" i="24"/>
  <c r="T6" i="24"/>
  <c r="T5" i="24"/>
  <c r="O7" i="24"/>
  <c r="Q6" i="24"/>
  <c r="Q5" i="24"/>
  <c r="N6" i="24"/>
  <c r="N5" i="24"/>
  <c r="G24" i="25"/>
  <c r="H24" i="25"/>
  <c r="F24" i="25"/>
  <c r="D19" i="25"/>
  <c r="C18" i="25"/>
  <c r="H19" i="25"/>
  <c r="G19" i="25"/>
  <c r="F19" i="25"/>
  <c r="E19" i="25"/>
  <c r="H18" i="25"/>
  <c r="G18" i="25"/>
  <c r="F18" i="25"/>
  <c r="F20" i="25" s="1"/>
  <c r="E18" i="25"/>
  <c r="C19" i="25"/>
  <c r="D18" i="25"/>
  <c r="H20" i="25"/>
  <c r="E20" i="25"/>
  <c r="E24" i="25" s="1"/>
  <c r="H23" i="24"/>
  <c r="G23" i="24"/>
  <c r="I19" i="24"/>
  <c r="H19" i="24"/>
  <c r="G19" i="24"/>
  <c r="F19" i="24"/>
  <c r="I18" i="24"/>
  <c r="H18" i="24"/>
  <c r="G18" i="24"/>
  <c r="F18" i="24"/>
  <c r="D19" i="24"/>
  <c r="E18" i="24"/>
  <c r="S43" i="23"/>
  <c r="R43" i="23"/>
  <c r="X41" i="23" s="1"/>
  <c r="Z40" i="23"/>
  <c r="Z39" i="23"/>
  <c r="Z38" i="23"/>
  <c r="T38" i="23"/>
  <c r="Z37" i="23"/>
  <c r="T37" i="23"/>
  <c r="Z36" i="23"/>
  <c r="T36" i="23"/>
  <c r="T43" i="23" s="1"/>
  <c r="N44" i="23"/>
  <c r="N43" i="23"/>
  <c r="K42" i="23"/>
  <c r="H41" i="23"/>
  <c r="K40" i="23"/>
  <c r="K39" i="23"/>
  <c r="L38" i="23"/>
  <c r="L39" i="23" s="1"/>
  <c r="L40" i="23" s="1"/>
  <c r="L41" i="23" s="1"/>
  <c r="L42" i="23" s="1"/>
  <c r="H38" i="23"/>
  <c r="L37" i="23"/>
  <c r="N37" i="23" s="1"/>
  <c r="N38" i="23" s="1"/>
  <c r="K37" i="23"/>
  <c r="N36" i="23"/>
  <c r="Z28" i="23"/>
  <c r="U28" i="23"/>
  <c r="W28" i="23" s="1"/>
  <c r="Z27" i="23"/>
  <c r="W27" i="23"/>
  <c r="W26" i="23"/>
  <c r="Z23" i="23"/>
  <c r="T23" i="23"/>
  <c r="W22" i="23"/>
  <c r="X19" i="23"/>
  <c r="Z19" i="23" s="1"/>
  <c r="W19" i="23"/>
  <c r="Z17" i="23"/>
  <c r="T17" i="23"/>
  <c r="X16" i="23"/>
  <c r="X18" i="23" s="1"/>
  <c r="W16" i="23"/>
  <c r="Z15" i="23"/>
  <c r="N28" i="23"/>
  <c r="K28" i="23"/>
  <c r="N27" i="23"/>
  <c r="K27" i="23"/>
  <c r="L26" i="23"/>
  <c r="N26" i="23" s="1"/>
  <c r="K26" i="23"/>
  <c r="N25" i="23"/>
  <c r="N24" i="23"/>
  <c r="N23" i="23"/>
  <c r="H23" i="23"/>
  <c r="N22" i="23"/>
  <c r="K22" i="23"/>
  <c r="N21" i="23"/>
  <c r="N20" i="23"/>
  <c r="N19" i="23"/>
  <c r="K19" i="23"/>
  <c r="N18" i="23"/>
  <c r="H17" i="23"/>
  <c r="L16" i="23"/>
  <c r="N16" i="23" s="1"/>
  <c r="K16" i="23"/>
  <c r="N15" i="23"/>
  <c r="N24" i="22"/>
  <c r="M24" i="22"/>
  <c r="Z24" i="22"/>
  <c r="Y24" i="22"/>
  <c r="X42" i="22"/>
  <c r="Z42" i="22" s="1"/>
  <c r="W40" i="22"/>
  <c r="Z39" i="22"/>
  <c r="W39" i="22"/>
  <c r="Z38" i="22"/>
  <c r="Z37" i="22"/>
  <c r="T37" i="22"/>
  <c r="W36" i="22"/>
  <c r="Z35" i="22"/>
  <c r="W35" i="22"/>
  <c r="Z34" i="22"/>
  <c r="Z33" i="22"/>
  <c r="T33" i="22"/>
  <c r="Z32" i="22"/>
  <c r="W32" i="22"/>
  <c r="Z31" i="22"/>
  <c r="L42" i="22"/>
  <c r="N42" i="22" s="1"/>
  <c r="K40" i="22"/>
  <c r="N39" i="22"/>
  <c r="K39" i="22"/>
  <c r="N38" i="22"/>
  <c r="N37" i="22"/>
  <c r="H37" i="22"/>
  <c r="K36" i="22"/>
  <c r="N35" i="22"/>
  <c r="K35" i="22"/>
  <c r="N34" i="22"/>
  <c r="N33" i="22"/>
  <c r="H33" i="22"/>
  <c r="N32" i="22"/>
  <c r="K32" i="22"/>
  <c r="N31" i="22"/>
  <c r="X25" i="22"/>
  <c r="Z25" i="22" s="1"/>
  <c r="W23" i="22"/>
  <c r="Z22" i="22"/>
  <c r="W22" i="22"/>
  <c r="Z21" i="22"/>
  <c r="Z20" i="22"/>
  <c r="T20" i="22"/>
  <c r="W19" i="22"/>
  <c r="Z18" i="22"/>
  <c r="W18" i="22"/>
  <c r="Z17" i="22"/>
  <c r="Z16" i="22"/>
  <c r="T16" i="22"/>
  <c r="Z15" i="22"/>
  <c r="W15" i="22"/>
  <c r="Z14" i="22"/>
  <c r="L25" i="22"/>
  <c r="N25" i="22" s="1"/>
  <c r="N21" i="22"/>
  <c r="N20" i="22"/>
  <c r="N22" i="22"/>
  <c r="N18" i="22"/>
  <c r="N15" i="22"/>
  <c r="N16" i="22"/>
  <c r="N17" i="22"/>
  <c r="N14" i="22"/>
  <c r="K18" i="22"/>
  <c r="K19" i="22"/>
  <c r="K22" i="22"/>
  <c r="K23" i="22"/>
  <c r="K15" i="22"/>
  <c r="H20" i="22"/>
  <c r="H16" i="22"/>
  <c r="C8" i="7"/>
  <c r="I77" i="15"/>
  <c r="H77" i="15"/>
  <c r="G77" i="15"/>
  <c r="H54" i="15"/>
  <c r="G54" i="15"/>
  <c r="N41" i="15"/>
  <c r="N40" i="15"/>
  <c r="G53" i="15"/>
  <c r="H53" i="15" s="1"/>
  <c r="F54" i="15" s="1"/>
  <c r="F55" i="15" s="1"/>
  <c r="O40" i="15"/>
  <c r="C43" i="15"/>
  <c r="C44" i="15" s="1"/>
  <c r="G40" i="15"/>
  <c r="C42" i="15"/>
  <c r="I41" i="15" s="1"/>
  <c r="T11" i="15"/>
  <c r="R9" i="15"/>
  <c r="T10" i="15"/>
  <c r="U10" i="15" s="1"/>
  <c r="T9" i="15"/>
  <c r="L9" i="15"/>
  <c r="N11" i="15"/>
  <c r="N10" i="15"/>
  <c r="O10" i="15" s="1"/>
  <c r="N9" i="15"/>
  <c r="Q17" i="21"/>
  <c r="J2" i="21"/>
  <c r="J3" i="21" s="1"/>
  <c r="J4" i="21"/>
  <c r="J5" i="21"/>
  <c r="J6" i="21"/>
  <c r="R17" i="21"/>
  <c r="P18" i="21" s="1"/>
  <c r="R18" i="21" s="1"/>
  <c r="P19" i="21" s="1"/>
  <c r="M8" i="21"/>
  <c r="P17" i="21"/>
  <c r="P10" i="21"/>
  <c r="P9" i="21"/>
  <c r="Q9" i="21"/>
  <c r="S8" i="21"/>
  <c r="M6" i="21"/>
  <c r="P8" i="21"/>
  <c r="R10" i="21"/>
  <c r="R11" i="21" s="1"/>
  <c r="H15" i="21"/>
  <c r="H14" i="21"/>
  <c r="H13" i="21"/>
  <c r="H12" i="21"/>
  <c r="H11" i="21"/>
  <c r="H5" i="21"/>
  <c r="H2" i="21"/>
  <c r="D11" i="21"/>
  <c r="B11" i="21"/>
  <c r="E11" i="21" s="1"/>
  <c r="E7" i="21"/>
  <c r="D7" i="21"/>
  <c r="B7" i="21"/>
  <c r="D6" i="21"/>
  <c r="B6" i="21"/>
  <c r="E6" i="21" s="1"/>
  <c r="D5" i="21"/>
  <c r="D12" i="21" s="1"/>
  <c r="H3" i="21" s="1"/>
  <c r="B5" i="21"/>
  <c r="E5" i="21" s="1"/>
  <c r="B3" i="21"/>
  <c r="B12" i="21" s="1"/>
  <c r="G30" i="20"/>
  <c r="H29" i="20"/>
  <c r="F30" i="20" s="1"/>
  <c r="B13" i="19"/>
  <c r="B12" i="19"/>
  <c r="C7" i="19"/>
  <c r="B5" i="19"/>
  <c r="J25" i="18"/>
  <c r="M20" i="18"/>
  <c r="L22" i="18"/>
  <c r="L21" i="18"/>
  <c r="M19" i="18"/>
  <c r="L20" i="18"/>
  <c r="L19" i="18"/>
  <c r="L18" i="18"/>
  <c r="C26" i="18"/>
  <c r="B26" i="18"/>
  <c r="B25" i="18"/>
  <c r="B24" i="18"/>
  <c r="F8" i="18"/>
  <c r="D23" i="18"/>
  <c r="B23" i="18"/>
  <c r="J21" i="18"/>
  <c r="J20" i="18"/>
  <c r="J19" i="18"/>
  <c r="J18" i="18"/>
  <c r="J13" i="18"/>
  <c r="L13" i="18"/>
  <c r="L12" i="18"/>
  <c r="B13" i="18"/>
  <c r="J11" i="18"/>
  <c r="B12" i="18"/>
  <c r="J9" i="18"/>
  <c r="J10" i="18"/>
  <c r="B10" i="18"/>
  <c r="L7" i="18"/>
  <c r="E19" i="18"/>
  <c r="L4" i="18"/>
  <c r="J5" i="18"/>
  <c r="J6" i="18"/>
  <c r="J7" i="18"/>
  <c r="J8" i="18"/>
  <c r="J4" i="18"/>
  <c r="J3" i="18"/>
  <c r="B9" i="18"/>
  <c r="B8" i="18"/>
  <c r="B7" i="18"/>
  <c r="B6" i="18"/>
  <c r="B5" i="18"/>
  <c r="J2" i="18"/>
  <c r="B23" i="17"/>
  <c r="M6" i="17"/>
  <c r="M4" i="17"/>
  <c r="M5" i="17"/>
  <c r="M3" i="17"/>
  <c r="K4" i="17"/>
  <c r="I4" i="17"/>
  <c r="G4" i="17"/>
  <c r="K3" i="17"/>
  <c r="I3" i="17"/>
  <c r="G3" i="17"/>
  <c r="G5" i="17"/>
  <c r="G7" i="17" s="1"/>
  <c r="H4" i="17"/>
  <c r="H5" i="17" s="1"/>
  <c r="C9" i="17"/>
  <c r="D9" i="17"/>
  <c r="B9" i="17"/>
  <c r="D8" i="17"/>
  <c r="C8" i="17"/>
  <c r="B8" i="17"/>
  <c r="C7" i="17"/>
  <c r="D7" i="17"/>
  <c r="B7" i="17"/>
  <c r="C31" i="15"/>
  <c r="AC6" i="24" l="1"/>
  <c r="Y6" i="24"/>
  <c r="AA10" i="24"/>
  <c r="N7" i="24"/>
  <c r="M18" i="24"/>
  <c r="Q16" i="24" s="1"/>
  <c r="Q7" i="24"/>
  <c r="N21" i="24" s="1"/>
  <c r="N22" i="24" s="1"/>
  <c r="M22" i="24" s="1"/>
  <c r="T7" i="24"/>
  <c r="N25" i="24" s="1"/>
  <c r="N26" i="24" s="1"/>
  <c r="M26" i="24" s="1"/>
  <c r="F20" i="24"/>
  <c r="F23" i="24" s="1"/>
  <c r="I20" i="24"/>
  <c r="I23" i="24" s="1"/>
  <c r="Z42" i="23"/>
  <c r="Z43" i="23" s="1"/>
  <c r="Z41" i="23"/>
  <c r="X43" i="23"/>
  <c r="M38" i="23"/>
  <c r="N39" i="23"/>
  <c r="Z18" i="23"/>
  <c r="X20" i="23"/>
  <c r="Z16" i="23"/>
  <c r="X21" i="23"/>
  <c r="L17" i="23"/>
  <c r="N17" i="23" s="1"/>
  <c r="G55" i="15"/>
  <c r="H55" i="15" s="1"/>
  <c r="F56" i="15" s="1"/>
  <c r="R10" i="15"/>
  <c r="R11" i="15" s="1"/>
  <c r="R12" i="15" s="1"/>
  <c r="S12" i="15" s="1"/>
  <c r="L10" i="15"/>
  <c r="L11" i="15" s="1"/>
  <c r="L12" i="15" s="1"/>
  <c r="N12" i="15" s="1"/>
  <c r="M12" i="15"/>
  <c r="I40" i="15"/>
  <c r="T12" i="15"/>
  <c r="R13" i="15" s="1"/>
  <c r="U9" i="15"/>
  <c r="O9" i="15"/>
  <c r="R19" i="21"/>
  <c r="Q19" i="21"/>
  <c r="R20" i="21"/>
  <c r="S9" i="21"/>
  <c r="I3" i="21"/>
  <c r="H4" i="21"/>
  <c r="H6" i="21" s="1"/>
  <c r="H30" i="20"/>
  <c r="K19" i="18"/>
  <c r="K20" i="18" s="1"/>
  <c r="M7" i="17"/>
  <c r="N4" i="17"/>
  <c r="N5" i="17" s="1"/>
  <c r="K5" i="17"/>
  <c r="K7" i="17" s="1"/>
  <c r="I5" i="17"/>
  <c r="I7" i="17" s="1"/>
  <c r="L4" i="17"/>
  <c r="L5" i="17" s="1"/>
  <c r="J4" i="17"/>
  <c r="J5" i="17" s="1"/>
  <c r="I22" i="20"/>
  <c r="I23" i="20"/>
  <c r="H25" i="20"/>
  <c r="H24" i="20"/>
  <c r="F19" i="20"/>
  <c r="H15" i="20"/>
  <c r="G9" i="20"/>
  <c r="B7" i="20"/>
  <c r="B6" i="20"/>
  <c r="B4" i="20"/>
  <c r="B1" i="20"/>
  <c r="F29" i="20" s="1"/>
  <c r="F31" i="20" s="1"/>
  <c r="C32" i="20"/>
  <c r="C33" i="20" s="1"/>
  <c r="C31" i="20"/>
  <c r="F24" i="20"/>
  <c r="F23" i="20"/>
  <c r="F22" i="20"/>
  <c r="I21" i="20"/>
  <c r="F21" i="20"/>
  <c r="F9" i="20"/>
  <c r="F10" i="20" s="1"/>
  <c r="F11" i="20" s="1"/>
  <c r="F12" i="20" s="1"/>
  <c r="F13" i="20" s="1"/>
  <c r="F14" i="20" s="1"/>
  <c r="G14" i="20" s="1"/>
  <c r="I14" i="20" s="1"/>
  <c r="F9" i="18"/>
  <c r="F10" i="18" s="1"/>
  <c r="F7" i="18"/>
  <c r="B21" i="18"/>
  <c r="B22" i="18" s="1"/>
  <c r="B19" i="18"/>
  <c r="F6" i="18"/>
  <c r="B15" i="18"/>
  <c r="B17" i="17"/>
  <c r="B16" i="17"/>
  <c r="B10" i="16"/>
  <c r="B9" i="16"/>
  <c r="B2" i="16"/>
  <c r="B3" i="16" s="1"/>
  <c r="B1" i="16"/>
  <c r="G35" i="15"/>
  <c r="G15" i="15"/>
  <c r="H14" i="15"/>
  <c r="H10" i="15"/>
  <c r="H11" i="15"/>
  <c r="H12" i="15"/>
  <c r="H13" i="15"/>
  <c r="H9" i="15"/>
  <c r="C32" i="15"/>
  <c r="C33" i="15" s="1"/>
  <c r="I34" i="15"/>
  <c r="I30" i="15"/>
  <c r="I31" i="15"/>
  <c r="I32" i="15"/>
  <c r="I33" i="15"/>
  <c r="I29" i="15"/>
  <c r="F29" i="15"/>
  <c r="F30" i="15" s="1"/>
  <c r="F20" i="15"/>
  <c r="G20" i="15" s="1"/>
  <c r="I20" i="15" s="1"/>
  <c r="F21" i="15"/>
  <c r="G21" i="15" s="1"/>
  <c r="I21" i="15" s="1"/>
  <c r="F22" i="15"/>
  <c r="G22" i="15" s="1"/>
  <c r="I22" i="15" s="1"/>
  <c r="F23" i="15"/>
  <c r="G23" i="15" s="1"/>
  <c r="I23" i="15" s="1"/>
  <c r="F24" i="15"/>
  <c r="G24" i="15" s="1"/>
  <c r="F19" i="15"/>
  <c r="H24" i="15" s="1"/>
  <c r="H25" i="15" s="1"/>
  <c r="B4" i="15"/>
  <c r="F9" i="15"/>
  <c r="B6" i="15"/>
  <c r="G34" i="14"/>
  <c r="G27" i="14"/>
  <c r="G30" i="14" s="1"/>
  <c r="G28" i="14"/>
  <c r="I28" i="14" s="1"/>
  <c r="G29" i="14"/>
  <c r="I29" i="14" s="1"/>
  <c r="G26" i="14"/>
  <c r="G18" i="14"/>
  <c r="I18" i="14" s="1"/>
  <c r="I35" i="14"/>
  <c r="I36" i="14"/>
  <c r="I34" i="14"/>
  <c r="H34" i="14" s="1"/>
  <c r="I27" i="14"/>
  <c r="I26" i="14"/>
  <c r="H30" i="14"/>
  <c r="H22" i="14"/>
  <c r="F19" i="14"/>
  <c r="F20" i="14" s="1"/>
  <c r="B15" i="14"/>
  <c r="G2" i="13"/>
  <c r="D4" i="13"/>
  <c r="B10" i="13"/>
  <c r="B9" i="13"/>
  <c r="B7" i="13"/>
  <c r="B6" i="13"/>
  <c r="B5" i="13"/>
  <c r="B4" i="13"/>
  <c r="B3" i="13"/>
  <c r="B2" i="13"/>
  <c r="B11" i="13" s="1"/>
  <c r="D3" i="13"/>
  <c r="D2" i="13"/>
  <c r="C15" i="13" s="1"/>
  <c r="D11" i="12"/>
  <c r="B11" i="12"/>
  <c r="D10" i="12"/>
  <c r="B10" i="12"/>
  <c r="D9" i="12"/>
  <c r="B9" i="12"/>
  <c r="D7" i="12"/>
  <c r="D6" i="12"/>
  <c r="D5" i="12"/>
  <c r="D3" i="12"/>
  <c r="E4" i="12" s="1"/>
  <c r="E5" i="12" s="1"/>
  <c r="B6" i="12"/>
  <c r="B4" i="12"/>
  <c r="B3" i="12"/>
  <c r="AC10" i="24" l="1"/>
  <c r="AA11" i="24"/>
  <c r="AC11" i="24" s="1"/>
  <c r="N40" i="23"/>
  <c r="M39" i="23"/>
  <c r="Z21" i="23"/>
  <c r="X24" i="23"/>
  <c r="Z20" i="23"/>
  <c r="X22" i="23"/>
  <c r="G56" i="15"/>
  <c r="H56" i="15" s="1"/>
  <c r="F57" i="15" s="1"/>
  <c r="L13" i="15"/>
  <c r="N14" i="15"/>
  <c r="N15" i="15" s="1"/>
  <c r="I24" i="15"/>
  <c r="M41" i="15"/>
  <c r="G19" i="15"/>
  <c r="I19" i="15" s="1"/>
  <c r="I25" i="15" s="1"/>
  <c r="H15" i="15"/>
  <c r="L14" i="15"/>
  <c r="M14" i="15" s="1"/>
  <c r="O14" i="15" s="1"/>
  <c r="M13" i="15"/>
  <c r="O13" i="15" s="1"/>
  <c r="T14" i="15"/>
  <c r="T15" i="15" s="1"/>
  <c r="O12" i="15"/>
  <c r="H40" i="15"/>
  <c r="I48" i="15"/>
  <c r="S13" i="15"/>
  <c r="U13" i="15" s="1"/>
  <c r="R14" i="15"/>
  <c r="S14" i="15" s="1"/>
  <c r="S15" i="15"/>
  <c r="U12" i="15"/>
  <c r="S19" i="21"/>
  <c r="Q20" i="21"/>
  <c r="S20" i="21"/>
  <c r="Q10" i="21"/>
  <c r="G10" i="20"/>
  <c r="I10" i="20" s="1"/>
  <c r="G11" i="20"/>
  <c r="G13" i="20"/>
  <c r="I13" i="20" s="1"/>
  <c r="G12" i="20"/>
  <c r="I12" i="20" s="1"/>
  <c r="J22" i="18"/>
  <c r="F11" i="18"/>
  <c r="B19" i="17"/>
  <c r="G31" i="20"/>
  <c r="H31" i="20" s="1"/>
  <c r="F32" i="20" s="1"/>
  <c r="F20" i="20"/>
  <c r="I20" i="20" s="1"/>
  <c r="I24" i="20"/>
  <c r="I9" i="20"/>
  <c r="I9" i="15"/>
  <c r="F10" i="15"/>
  <c r="F35" i="14"/>
  <c r="G19" i="14"/>
  <c r="I19" i="14" s="1"/>
  <c r="I30" i="14"/>
  <c r="F21" i="14"/>
  <c r="G21" i="14" s="1"/>
  <c r="I21" i="14" s="1"/>
  <c r="G20" i="14"/>
  <c r="I20" i="14" s="1"/>
  <c r="I22" i="14" s="1"/>
  <c r="G22" i="14"/>
  <c r="G3" i="13"/>
  <c r="G5" i="13"/>
  <c r="H3" i="13"/>
  <c r="H4" i="13" s="1"/>
  <c r="G4" i="13"/>
  <c r="C4" i="12"/>
  <c r="C5" i="12" s="1"/>
  <c r="B5" i="12"/>
  <c r="B7" i="12" s="1"/>
  <c r="I6" i="11"/>
  <c r="I5" i="11"/>
  <c r="I4" i="11"/>
  <c r="I3" i="11"/>
  <c r="I2" i="11"/>
  <c r="H4" i="11"/>
  <c r="H3" i="11"/>
  <c r="G6" i="11"/>
  <c r="G5" i="11"/>
  <c r="G4" i="11"/>
  <c r="G3" i="11"/>
  <c r="C19" i="11"/>
  <c r="C18" i="11"/>
  <c r="C17" i="11"/>
  <c r="C15" i="11"/>
  <c r="C14" i="11"/>
  <c r="D2" i="11"/>
  <c r="D10" i="11" s="1"/>
  <c r="B10" i="11"/>
  <c r="D8" i="11"/>
  <c r="B9" i="11"/>
  <c r="B8" i="11"/>
  <c r="B7" i="11"/>
  <c r="B6" i="11"/>
  <c r="B5" i="11"/>
  <c r="B4" i="11"/>
  <c r="B3" i="11"/>
  <c r="I10" i="10"/>
  <c r="D10" i="10"/>
  <c r="B11" i="10" s="1"/>
  <c r="G10" i="10"/>
  <c r="B10" i="10"/>
  <c r="B3" i="7"/>
  <c r="B4" i="7"/>
  <c r="B5" i="7"/>
  <c r="B26" i="9"/>
  <c r="D28" i="9"/>
  <c r="D29" i="9"/>
  <c r="D25" i="9"/>
  <c r="D49" i="9"/>
  <c r="H7" i="9"/>
  <c r="H13" i="9" s="1"/>
  <c r="J11" i="9"/>
  <c r="J8" i="9"/>
  <c r="J13" i="9" s="1"/>
  <c r="B10" i="9"/>
  <c r="D8" i="9"/>
  <c r="D5" i="9"/>
  <c r="D4" i="7"/>
  <c r="D2" i="7"/>
  <c r="C4" i="7"/>
  <c r="C2" i="7"/>
  <c r="F5" i="8"/>
  <c r="F4" i="8"/>
  <c r="F6" i="8"/>
  <c r="F7" i="8" s="1"/>
  <c r="F9" i="8"/>
  <c r="F8" i="8"/>
  <c r="I12" i="8"/>
  <c r="I13" i="8" s="1"/>
  <c r="F13" i="8"/>
  <c r="F12" i="8"/>
  <c r="F10" i="8" s="1"/>
  <c r="F14" i="8"/>
  <c r="B7" i="7"/>
  <c r="D8" i="7"/>
  <c r="B29" i="1"/>
  <c r="I5" i="8"/>
  <c r="I4" i="8"/>
  <c r="I7" i="8"/>
  <c r="I6" i="8"/>
  <c r="I8" i="8"/>
  <c r="I10" i="8"/>
  <c r="B10" i="5"/>
  <c r="C16" i="8"/>
  <c r="C14" i="8"/>
  <c r="C12" i="8"/>
  <c r="C11" i="8"/>
  <c r="C10" i="8"/>
  <c r="C9" i="8"/>
  <c r="C8" i="8"/>
  <c r="C5" i="8"/>
  <c r="C4" i="8"/>
  <c r="C6" i="8"/>
  <c r="C7" i="7"/>
  <c r="D13" i="5"/>
  <c r="B13" i="5" s="1"/>
  <c r="B8" i="5" s="1"/>
  <c r="D5" i="4"/>
  <c r="D14" i="4" s="1"/>
  <c r="B14" i="4"/>
  <c r="C5" i="3"/>
  <c r="C7" i="3" s="1"/>
  <c r="B4" i="3"/>
  <c r="B5" i="3" s="1"/>
  <c r="B6" i="3" s="1"/>
  <c r="B7" i="3" s="1"/>
  <c r="B16" i="2"/>
  <c r="D15" i="2" s="1"/>
  <c r="D16" i="2" s="1"/>
  <c r="D44" i="1"/>
  <c r="D45" i="1" s="1"/>
  <c r="B44" i="1"/>
  <c r="D25" i="1"/>
  <c r="D21" i="1"/>
  <c r="D5" i="1"/>
  <c r="B12" i="1"/>
  <c r="B27" i="1" s="1"/>
  <c r="B13" i="1"/>
  <c r="D6" i="1" s="1"/>
  <c r="M40" i="23" l="1"/>
  <c r="N41" i="23"/>
  <c r="X25" i="23"/>
  <c r="Z25" i="23" s="1"/>
  <c r="Z22" i="23"/>
  <c r="X26" i="23"/>
  <c r="Z26" i="23" s="1"/>
  <c r="Z24" i="23"/>
  <c r="G57" i="15"/>
  <c r="H57" i="15" s="1"/>
  <c r="F58" i="15" s="1"/>
  <c r="O41" i="15"/>
  <c r="M42" i="15" s="1"/>
  <c r="N42" i="15" s="1"/>
  <c r="G25" i="15"/>
  <c r="M15" i="15"/>
  <c r="U14" i="15"/>
  <c r="U15" i="15"/>
  <c r="O15" i="15"/>
  <c r="M17" i="15" s="1"/>
  <c r="F41" i="15"/>
  <c r="G41" i="15" s="1"/>
  <c r="S10" i="21"/>
  <c r="S11" i="21" s="1"/>
  <c r="Q11" i="21"/>
  <c r="I11" i="20"/>
  <c r="I15" i="20" s="1"/>
  <c r="G15" i="20"/>
  <c r="B20" i="17"/>
  <c r="B21" i="17" s="1"/>
  <c r="C21" i="17"/>
  <c r="G32" i="20"/>
  <c r="H32" i="20" s="1"/>
  <c r="G25" i="20"/>
  <c r="I19" i="20"/>
  <c r="I25" i="20" s="1"/>
  <c r="F31" i="15"/>
  <c r="F32" i="15" s="1"/>
  <c r="F33" i="15" s="1"/>
  <c r="F11" i="15"/>
  <c r="G35" i="14"/>
  <c r="G6" i="13"/>
  <c r="I11" i="10"/>
  <c r="J14" i="9"/>
  <c r="B28" i="9" s="1"/>
  <c r="B49" i="9"/>
  <c r="D50" i="9" s="1"/>
  <c r="B30" i="9"/>
  <c r="D14" i="6"/>
  <c r="B12" i="6" s="1"/>
  <c r="B8" i="3"/>
  <c r="B9" i="3" s="1"/>
  <c r="C3" i="3"/>
  <c r="C4" i="3" s="1"/>
  <c r="C8" i="3"/>
  <c r="C9" i="3" s="1"/>
  <c r="D13" i="1"/>
  <c r="C19" i="13" l="1"/>
  <c r="C22" i="13"/>
  <c r="N42" i="23"/>
  <c r="M42" i="23" s="1"/>
  <c r="M41" i="23"/>
  <c r="G58" i="15"/>
  <c r="H58" i="15" s="1"/>
  <c r="F59" i="15" s="1"/>
  <c r="O42" i="15"/>
  <c r="M43" i="15" s="1"/>
  <c r="N43" i="15" s="1"/>
  <c r="G48" i="15"/>
  <c r="H41" i="15"/>
  <c r="H48" i="15" s="1"/>
  <c r="F33" i="20"/>
  <c r="G33" i="20" s="1"/>
  <c r="I11" i="15"/>
  <c r="F12" i="15"/>
  <c r="I10" i="15"/>
  <c r="H35" i="14"/>
  <c r="C20" i="13"/>
  <c r="D23" i="9"/>
  <c r="D30" i="9" s="1"/>
  <c r="B10" i="3"/>
  <c r="B11" i="3"/>
  <c r="C10" i="3"/>
  <c r="C11" i="3" s="1"/>
  <c r="G59" i="15" l="1"/>
  <c r="H59" i="15" s="1"/>
  <c r="F60" i="15" s="1"/>
  <c r="O43" i="15"/>
  <c r="M44" i="15" s="1"/>
  <c r="H33" i="20"/>
  <c r="F34" i="15"/>
  <c r="F13" i="15"/>
  <c r="F36" i="14"/>
  <c r="D22" i="1"/>
  <c r="D29" i="1" s="1"/>
  <c r="B14" i="6"/>
  <c r="I14" i="8"/>
  <c r="I16" i="8" s="1"/>
  <c r="B11" i="9"/>
  <c r="D11" i="9"/>
  <c r="G60" i="15" l="1"/>
  <c r="H60" i="15" s="1"/>
  <c r="F61" i="15" s="1"/>
  <c r="N44" i="15"/>
  <c r="O44" i="15" s="1"/>
  <c r="M45" i="15" s="1"/>
  <c r="F34" i="20"/>
  <c r="F14" i="15"/>
  <c r="I14" i="15" s="1"/>
  <c r="I13" i="15"/>
  <c r="I12" i="15"/>
  <c r="G36" i="14"/>
  <c r="G61" i="15" l="1"/>
  <c r="H61" i="15" s="1"/>
  <c r="F62" i="15" s="1"/>
  <c r="N45" i="15"/>
  <c r="O45" i="15" s="1"/>
  <c r="G34" i="20"/>
  <c r="H34" i="20"/>
  <c r="H35" i="20" s="1"/>
  <c r="G35" i="20"/>
  <c r="I15" i="15"/>
  <c r="H36" i="14"/>
  <c r="G62" i="15" l="1"/>
  <c r="H62" i="15" s="1"/>
  <c r="F63" i="15" s="1"/>
  <c r="M46" i="15"/>
  <c r="I34" i="20"/>
  <c r="I35" i="20" s="1"/>
  <c r="F37" i="14"/>
  <c r="G63" i="15" l="1"/>
  <c r="H63" i="15" s="1"/>
  <c r="F64" i="15" s="1"/>
  <c r="N46" i="15"/>
  <c r="H37" i="14"/>
  <c r="H38" i="14" s="1"/>
  <c r="G37" i="14"/>
  <c r="G64" i="15" l="1"/>
  <c r="H64" i="15" s="1"/>
  <c r="F65" i="15" s="1"/>
  <c r="O46" i="15"/>
  <c r="I37" i="14"/>
  <c r="G38" i="14"/>
  <c r="I38" i="14" s="1"/>
  <c r="H35" i="15"/>
  <c r="I35" i="15"/>
  <c r="G65" i="15" l="1"/>
  <c r="H65" i="15" s="1"/>
  <c r="F66" i="15" s="1"/>
  <c r="M47" i="15"/>
  <c r="G66" i="15" l="1"/>
  <c r="H66" i="15" s="1"/>
  <c r="F67" i="15" s="1"/>
  <c r="N47" i="15"/>
  <c r="O47" i="15"/>
  <c r="O48" i="15" s="1"/>
  <c r="G67" i="15" l="1"/>
  <c r="H67" i="15" s="1"/>
  <c r="F68" i="15" s="1"/>
  <c r="P48" i="15"/>
  <c r="N48" i="15"/>
  <c r="O51" i="15" s="1"/>
  <c r="G68" i="15" l="1"/>
  <c r="H68" i="15" s="1"/>
  <c r="F69" i="15" s="1"/>
  <c r="G69" i="15" l="1"/>
  <c r="H69" i="15" s="1"/>
  <c r="F70" i="15" s="1"/>
  <c r="G70" i="15" l="1"/>
  <c r="H70" i="15" s="1"/>
  <c r="F71" i="15" s="1"/>
  <c r="G71" i="15" l="1"/>
  <c r="H71" i="15" s="1"/>
  <c r="F72" i="15" s="1"/>
  <c r="G72" i="15" l="1"/>
  <c r="H72" i="15" s="1"/>
  <c r="F73" i="15" s="1"/>
  <c r="G73" i="15" l="1"/>
  <c r="H73" i="15" s="1"/>
  <c r="F74" i="15" s="1"/>
  <c r="G74" i="15" l="1"/>
  <c r="H74" i="15" s="1"/>
  <c r="F75" i="15" s="1"/>
  <c r="G75" i="15" l="1"/>
  <c r="H75" i="15" s="1"/>
  <c r="F76" i="15" s="1"/>
  <c r="G76" i="15" s="1"/>
  <c r="H76" i="15" s="1"/>
  <c r="AB12" i="24"/>
  <c r="I12" i="1"/>
  <c r="Y12" i="24"/>
  <c r="X12" i="24"/>
  <c r="K12" i="1"/>
</calcChain>
</file>

<file path=xl/sharedStrings.xml><?xml version="1.0" encoding="utf-8"?>
<sst xmlns="http://schemas.openxmlformats.org/spreadsheetml/2006/main" count="1233" uniqueCount="419">
  <si>
    <t>Actif</t>
  </si>
  <si>
    <t>MONTANT</t>
  </si>
  <si>
    <t>Passif</t>
  </si>
  <si>
    <t>Actif immobilisé</t>
  </si>
  <si>
    <t>Capitaux propres</t>
  </si>
  <si>
    <t>Terrain</t>
  </si>
  <si>
    <t>Capital</t>
  </si>
  <si>
    <t>Pertes</t>
  </si>
  <si>
    <t>Actif circulant</t>
  </si>
  <si>
    <t>Dettes LT</t>
  </si>
  <si>
    <t>Emprunt</t>
  </si>
  <si>
    <t>Créances clients</t>
  </si>
  <si>
    <t>Dettes CT</t>
  </si>
  <si>
    <t>Actif de trésorerie</t>
  </si>
  <si>
    <t>Banque</t>
  </si>
  <si>
    <t>Caisse</t>
  </si>
  <si>
    <t>Total</t>
  </si>
  <si>
    <t xml:space="preserve">Ordinateur </t>
  </si>
  <si>
    <t xml:space="preserve">Bilan Ouverture </t>
  </si>
  <si>
    <t>BANQUE</t>
  </si>
  <si>
    <t>Encaissement (+)</t>
  </si>
  <si>
    <t>Décaissement (-)</t>
  </si>
  <si>
    <t xml:space="preserve">Solde départ </t>
  </si>
  <si>
    <t>Achat marchandises</t>
  </si>
  <si>
    <t>Véhicule</t>
  </si>
  <si>
    <t>Essence</t>
  </si>
  <si>
    <t>Prêts</t>
  </si>
  <si>
    <t>Remboursement</t>
  </si>
  <si>
    <t xml:space="preserve">Salaires </t>
  </si>
  <si>
    <t>Bilan Clôture</t>
  </si>
  <si>
    <t>Créances client</t>
  </si>
  <si>
    <t xml:space="preserve"> MONTANT </t>
  </si>
  <si>
    <t>Compte de résultat</t>
  </si>
  <si>
    <t>Charges</t>
  </si>
  <si>
    <t>Produits</t>
  </si>
  <si>
    <t>Exploitation</t>
  </si>
  <si>
    <t>Salaire</t>
  </si>
  <si>
    <t>Vente marchandises</t>
  </si>
  <si>
    <t>Financier</t>
  </si>
  <si>
    <t>Exceptionnel</t>
  </si>
  <si>
    <t>Total Charges</t>
  </si>
  <si>
    <t>Total Produits</t>
  </si>
  <si>
    <t>Bénéfices</t>
  </si>
  <si>
    <t>Bilan au 31/08/N</t>
  </si>
  <si>
    <t>Construction</t>
  </si>
  <si>
    <t>Fonds de commerce</t>
  </si>
  <si>
    <t>Résultat</t>
  </si>
  <si>
    <t>Titres</t>
  </si>
  <si>
    <t>Stocks</t>
  </si>
  <si>
    <t>Rémunération dûe</t>
  </si>
  <si>
    <t>Prêt</t>
  </si>
  <si>
    <t>Fournisseurs</t>
  </si>
  <si>
    <t>Prix d'achat brut</t>
  </si>
  <si>
    <t>Remise : 5%</t>
  </si>
  <si>
    <t>PAN com 1</t>
  </si>
  <si>
    <t>PAN com 2</t>
  </si>
  <si>
    <t>PAN fin</t>
  </si>
  <si>
    <t>Rabais : 8%</t>
  </si>
  <si>
    <t>Escompte de règlement : 2%</t>
  </si>
  <si>
    <t>TVA au taux normal</t>
  </si>
  <si>
    <t>NET à payer</t>
  </si>
  <si>
    <t>Facture 1</t>
  </si>
  <si>
    <t>Facture 2</t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</si>
  <si>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Fonds de commerce : 170 000 €.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</si>
  <si>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Dettes fournisseurs : 25 000 €.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</si>
  <si>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Matériel de transport : 15 000 €.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</si>
  <si>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Matériel de bureau et informatique : 5 700 €.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</si>
  <si>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Créances clients : 32 000 €.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</si>
  <si>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Dettes fiscales : 19 000 €.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</si>
  <si>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Emprunt : 27 000 €.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</si>
  <si>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Prêt : 32 000 €.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</si>
  <si>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Banque : 7 000 €.</t>
    </r>
  </si>
  <si>
    <t>Stock</t>
  </si>
  <si>
    <t>-       Stock de marchandises : 130 000 €.</t>
  </si>
  <si>
    <t>Dettes fournisseurs</t>
  </si>
  <si>
    <t>Dettes fiscales</t>
  </si>
  <si>
    <t>Matériel informatique</t>
  </si>
  <si>
    <t>Matériel transport</t>
  </si>
  <si>
    <t xml:space="preserve">Emprunt </t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</si>
  <si>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Produits exceptionnels : 32 000.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</si>
  <si>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Charges financières : 28 500.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</si>
  <si>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Ventes de prestations de services : 290 380.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</si>
  <si>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Charges exceptionnelles : 28 770.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</si>
  <si>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Ventes de marchandises : 79 890.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</si>
  <si>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Charges financières : 9 090.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</si>
  <si>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Achats de marchandises : 58 770.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</si>
  <si>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Charges de personnel ?</t>
    </r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</si>
  <si>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Résultat de l’exercice : - 27 090.</t>
    </r>
  </si>
  <si>
    <t>Bilan Ouverture 15/07/N</t>
  </si>
  <si>
    <t xml:space="preserve">  MONTANT  </t>
  </si>
  <si>
    <t>Impôts</t>
  </si>
  <si>
    <t>-       Impôts : 7 380.</t>
  </si>
  <si>
    <t>Ventes prestations</t>
  </si>
  <si>
    <t>Ventes marchandises</t>
  </si>
  <si>
    <t>Charges financières</t>
  </si>
  <si>
    <t>Produits exceptionnels</t>
  </si>
  <si>
    <t>Charges exceptionnelles</t>
  </si>
  <si>
    <t>Achats marchandises</t>
  </si>
  <si>
    <t>Locations</t>
  </si>
  <si>
    <r>
      <t>-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Clients : ??????</t>
    </r>
  </si>
  <si>
    <t>Bilan 31/08/N</t>
  </si>
  <si>
    <t>-       Prêt : 20 000 €.</t>
  </si>
  <si>
    <t>-       Stock de marchandises : 20 000 €.</t>
  </si>
  <si>
    <t>-       Emprunt : 50 000 €.</t>
  </si>
  <si>
    <t xml:space="preserve">Terrain </t>
  </si>
  <si>
    <t>-       Capital : 150 000 €.</t>
  </si>
  <si>
    <t>-       Terrain : 50 000 €.</t>
  </si>
  <si>
    <t>-       Résultat de l’exercice : 150 000 €.</t>
  </si>
  <si>
    <t>-       Fonds de commerce : 160 000 €.</t>
  </si>
  <si>
    <t>-       Fournisseur : 30 000 €.</t>
  </si>
  <si>
    <t>-       Rémunération due : 80 000 €.</t>
  </si>
  <si>
    <t>Titres de participation</t>
  </si>
  <si>
    <t>-       Titres de participation : 7 000 €.</t>
  </si>
  <si>
    <t>-       Construction : 200 000 €.</t>
  </si>
  <si>
    <t>Coût d'achat</t>
  </si>
  <si>
    <t>Taux de marge</t>
  </si>
  <si>
    <t>Marge</t>
  </si>
  <si>
    <t>PVHT</t>
  </si>
  <si>
    <t>Taux de TVA</t>
  </si>
  <si>
    <t>PVTTC</t>
  </si>
  <si>
    <t>Coefficient multiplicateur, coût d'achat vers PVTTC</t>
  </si>
  <si>
    <t>A</t>
  </si>
  <si>
    <t>B</t>
  </si>
  <si>
    <t>C</t>
  </si>
  <si>
    <t>Facture</t>
  </si>
  <si>
    <t>Montant Brut</t>
  </si>
  <si>
    <t>Remise 8%</t>
  </si>
  <si>
    <t>Remise 5%</t>
  </si>
  <si>
    <t>Escompte 2%</t>
  </si>
  <si>
    <t>PAN com 3</t>
  </si>
  <si>
    <t>TVA 10%</t>
  </si>
  <si>
    <t>PAN com 4</t>
  </si>
  <si>
    <t>Transport</t>
  </si>
  <si>
    <t>PAN com 5</t>
  </si>
  <si>
    <t>Acompte</t>
  </si>
  <si>
    <t xml:space="preserve">Net à payer </t>
  </si>
  <si>
    <t>Port facturé</t>
  </si>
  <si>
    <t>-       Locations : 12 200.</t>
  </si>
  <si>
    <t>Charges de personnel</t>
  </si>
  <si>
    <t>Remise 3%</t>
  </si>
  <si>
    <t>Escompte 5%</t>
  </si>
  <si>
    <t>TVA 20%</t>
  </si>
  <si>
    <t>Réduit (5.5)</t>
  </si>
  <si>
    <t>Normal (20)</t>
  </si>
  <si>
    <t>Intermédiaire (10)</t>
  </si>
  <si>
    <t>Remise 4%</t>
  </si>
  <si>
    <t>Local</t>
  </si>
  <si>
    <t>Capital (local)</t>
  </si>
  <si>
    <t>Bilan d'ouverture au 01/01/2023</t>
  </si>
  <si>
    <t>Achat matériel</t>
  </si>
  <si>
    <t>Achat marchandise</t>
  </si>
  <si>
    <t>Achat fournitures</t>
  </si>
  <si>
    <t>Loyer</t>
  </si>
  <si>
    <t>Services</t>
  </si>
  <si>
    <t>Impôts et taxes</t>
  </si>
  <si>
    <t xml:space="preserve">Charges </t>
  </si>
  <si>
    <t>Vente prestation</t>
  </si>
  <si>
    <t>Bilan de clôture 2023</t>
  </si>
  <si>
    <t>Remb crédit</t>
  </si>
  <si>
    <t>Solde positif</t>
  </si>
  <si>
    <t>car on retire une année d'emprunt remboursé sans intérêts</t>
  </si>
  <si>
    <t>Matériel info</t>
  </si>
  <si>
    <t>toutes les charges n'apparaissent pas le bilan</t>
  </si>
  <si>
    <t>Amortissement</t>
  </si>
  <si>
    <t>Dettes salariés</t>
  </si>
  <si>
    <t>Intérêts</t>
  </si>
  <si>
    <t>Variation des stocks</t>
  </si>
  <si>
    <t>Charges fiscales</t>
  </si>
  <si>
    <t>Montant</t>
  </si>
  <si>
    <t>Compte de résultat 1</t>
  </si>
  <si>
    <t>Compte de résultat 2</t>
  </si>
  <si>
    <t>Charges fixes CF</t>
  </si>
  <si>
    <t>Charges variables CV</t>
  </si>
  <si>
    <t>Coût fabrication</t>
  </si>
  <si>
    <t>Respo administratif</t>
  </si>
  <si>
    <t>Entretien</t>
  </si>
  <si>
    <t xml:space="preserve">Gérant </t>
  </si>
  <si>
    <t xml:space="preserve">Travaux </t>
  </si>
  <si>
    <t>Commerciaux</t>
  </si>
  <si>
    <t>Frais divers</t>
  </si>
  <si>
    <t>Commissions</t>
  </si>
  <si>
    <t>MSCV (ap négo)</t>
  </si>
  <si>
    <t xml:space="preserve">TMSCV </t>
  </si>
  <si>
    <t>%</t>
  </si>
  <si>
    <t>SR</t>
  </si>
  <si>
    <t>SR (par unité)</t>
  </si>
  <si>
    <t>par an</t>
  </si>
  <si>
    <t>par semaine</t>
  </si>
  <si>
    <t>PM</t>
  </si>
  <si>
    <t>on arrondi au sup : 265</t>
  </si>
  <si>
    <t>Libellé</t>
  </si>
  <si>
    <t>CAHT</t>
  </si>
  <si>
    <t>MSCV</t>
  </si>
  <si>
    <t>. - CV</t>
  </si>
  <si>
    <t>. - CF</t>
  </si>
  <si>
    <t xml:space="preserve">Résultat </t>
  </si>
  <si>
    <t>Bénéfice</t>
  </si>
  <si>
    <t>/</t>
  </si>
  <si>
    <t>20% de CA en moins</t>
  </si>
  <si>
    <t>Montants</t>
  </si>
  <si>
    <t>PRODUIT A</t>
  </si>
  <si>
    <t>PRODUIT B</t>
  </si>
  <si>
    <t>SR €</t>
  </si>
  <si>
    <t>SR Q</t>
  </si>
  <si>
    <t>Vendeur</t>
  </si>
  <si>
    <t>Gérant</t>
  </si>
  <si>
    <t>Ordinateur</t>
  </si>
  <si>
    <t>Aménagement</t>
  </si>
  <si>
    <t>Publicité</t>
  </si>
  <si>
    <t>Frais administratifs</t>
  </si>
  <si>
    <t>Salaire Gérant</t>
  </si>
  <si>
    <t>Assurances</t>
  </si>
  <si>
    <t>Achats portables</t>
  </si>
  <si>
    <t xml:space="preserve">MSCV </t>
  </si>
  <si>
    <t>CA</t>
  </si>
  <si>
    <t>par mois</t>
  </si>
  <si>
    <t>Type de taux</t>
  </si>
  <si>
    <t>Pourcentage</t>
  </si>
  <si>
    <t>Taux nominal</t>
  </si>
  <si>
    <t>Caution</t>
  </si>
  <si>
    <t>Frais de dossier</t>
  </si>
  <si>
    <t>Hypothèque</t>
  </si>
  <si>
    <t>…</t>
  </si>
  <si>
    <t>TAEG</t>
  </si>
  <si>
    <t>total</t>
  </si>
  <si>
    <t>Taux</t>
  </si>
  <si>
    <t>Durée (an)</t>
  </si>
  <si>
    <t>En bloc</t>
  </si>
  <si>
    <t>Amortissement :</t>
  </si>
  <si>
    <t>Années</t>
  </si>
  <si>
    <t>Restant dû</t>
  </si>
  <si>
    <t>Amortissements</t>
  </si>
  <si>
    <t>Versements</t>
  </si>
  <si>
    <t>RD * i</t>
  </si>
  <si>
    <t>C0/n</t>
  </si>
  <si>
    <t>Int+Amort</t>
  </si>
  <si>
    <t>Totaux</t>
  </si>
  <si>
    <t>In finé</t>
  </si>
  <si>
    <t>Annuités</t>
  </si>
  <si>
    <t>Cn</t>
  </si>
  <si>
    <t>AC (annuel)</t>
  </si>
  <si>
    <t>AC (trimestriel)</t>
  </si>
  <si>
    <t>Coût tot</t>
  </si>
  <si>
    <t>TMSCV</t>
  </si>
  <si>
    <t>CV</t>
  </si>
  <si>
    <t>CF</t>
  </si>
  <si>
    <t>Eléments</t>
  </si>
  <si>
    <t>Produit Gina</t>
  </si>
  <si>
    <t>Produit Gigi</t>
  </si>
  <si>
    <t>Produit Glad</t>
  </si>
  <si>
    <t>Prix de vente unitaire</t>
  </si>
  <si>
    <t>Quantité produite et vendue</t>
  </si>
  <si>
    <t>Coût variable de production</t>
  </si>
  <si>
    <t>Coût variable de distribution</t>
  </si>
  <si>
    <t>Charges fixes globales</t>
  </si>
  <si>
    <t xml:space="preserve">CA Global : </t>
  </si>
  <si>
    <t>SR par an</t>
  </si>
  <si>
    <t>SR par mois</t>
  </si>
  <si>
    <t xml:space="preserve">Intitulé </t>
  </si>
  <si>
    <t>Travaux</t>
  </si>
  <si>
    <t>Bâtisse</t>
  </si>
  <si>
    <t>Frais installation</t>
  </si>
  <si>
    <t xml:space="preserve">Frais entretien </t>
  </si>
  <si>
    <t>Forfait compta</t>
  </si>
  <si>
    <t xml:space="preserve">Achat denrées </t>
  </si>
  <si>
    <t>Cuisinier</t>
  </si>
  <si>
    <t>Aide cuisinier</t>
  </si>
  <si>
    <t xml:space="preserve">2 serveurs </t>
  </si>
  <si>
    <t>Femme de ménage</t>
  </si>
  <si>
    <t>4% CAHT</t>
  </si>
  <si>
    <t>1.5% CAHT</t>
  </si>
  <si>
    <t xml:space="preserve">Prix couvert </t>
  </si>
  <si>
    <t>Couverts</t>
  </si>
  <si>
    <t>par jour</t>
  </si>
  <si>
    <t>ouverture</t>
  </si>
  <si>
    <t>sur 10 ans</t>
  </si>
  <si>
    <t>cliens -20%</t>
  </si>
  <si>
    <t>intérêts</t>
  </si>
  <si>
    <t>GINA</t>
  </si>
  <si>
    <t>GIGI</t>
  </si>
  <si>
    <t>GLAD</t>
  </si>
  <si>
    <t>JACKIE</t>
  </si>
  <si>
    <t xml:space="preserve">à la main : </t>
  </si>
  <si>
    <t>144000/0.1772=812 641</t>
  </si>
  <si>
    <t>Bâtisse et aménagements</t>
  </si>
  <si>
    <t>2 serveurs</t>
  </si>
  <si>
    <t>Com</t>
  </si>
  <si>
    <t>Denrées</t>
  </si>
  <si>
    <t>à la main</t>
  </si>
  <si>
    <t>SR par couvert</t>
  </si>
  <si>
    <t>Montant (-20%)</t>
  </si>
  <si>
    <t>Perte</t>
  </si>
  <si>
    <t>Amortissement = Montant emprunté / durée</t>
  </si>
  <si>
    <t>durée : 12 * 12 = 144</t>
  </si>
  <si>
    <t xml:space="preserve">montant du bien </t>
  </si>
  <si>
    <t>Vc</t>
  </si>
  <si>
    <t>Matières 1ères</t>
  </si>
  <si>
    <t>Electricité</t>
  </si>
  <si>
    <t>Fournitures</t>
  </si>
  <si>
    <t>Chages</t>
  </si>
  <si>
    <t>Dotations</t>
  </si>
  <si>
    <t>Frais</t>
  </si>
  <si>
    <t>Prix unitaire</t>
  </si>
  <si>
    <t>Nb de pièces</t>
  </si>
  <si>
    <t>.-CV</t>
  </si>
  <si>
    <t>.-CF</t>
  </si>
  <si>
    <t>Durée</t>
  </si>
  <si>
    <t>Amortissements constants</t>
  </si>
  <si>
    <t>RD*i</t>
  </si>
  <si>
    <t>RD-A</t>
  </si>
  <si>
    <t>Cn = Montant/Durée</t>
  </si>
  <si>
    <t>I-AC</t>
  </si>
  <si>
    <t>Annuités constantes</t>
  </si>
  <si>
    <t>AC</t>
  </si>
  <si>
    <t xml:space="preserve"> +30% bénéfice</t>
  </si>
  <si>
    <t>Si versement de +6000€ avec pénalité de 2500€ en année 3</t>
  </si>
  <si>
    <t>Trimestrialités</t>
  </si>
  <si>
    <t>Tri</t>
  </si>
  <si>
    <t>Date</t>
  </si>
  <si>
    <t>Opération</t>
  </si>
  <si>
    <t>Quantité</t>
  </si>
  <si>
    <t>Coût unitaire</t>
  </si>
  <si>
    <t>Sortie</t>
  </si>
  <si>
    <t>Stock initial (lot n°10)</t>
  </si>
  <si>
    <t>Entrée (lot n°11)</t>
  </si>
  <si>
    <t>Entrée (lot n°12)</t>
  </si>
  <si>
    <t>Sortie (lot n°13)</t>
  </si>
  <si>
    <t>P.U.</t>
  </si>
  <si>
    <t>Premier entrée premier sortie : FIFO</t>
  </si>
  <si>
    <t>Dates</t>
  </si>
  <si>
    <t>SI</t>
  </si>
  <si>
    <t>Entrée</t>
  </si>
  <si>
    <t>Mail</t>
  </si>
  <si>
    <t>SF réel</t>
  </si>
  <si>
    <t>Dernier entrée premier sortie = LIFO</t>
  </si>
  <si>
    <t>CUMP après chaque entrée (coût unitaire moyen pondéré)</t>
  </si>
  <si>
    <t>CUMP fin période</t>
  </si>
  <si>
    <t>Stock final théorique</t>
  </si>
  <si>
    <t>BONI</t>
  </si>
  <si>
    <t>Stock final réel</t>
  </si>
  <si>
    <t>Sorties</t>
  </si>
  <si>
    <t>SFR</t>
  </si>
  <si>
    <t>Différence arrondi</t>
  </si>
  <si>
    <t>Gestion de matériel</t>
  </si>
  <si>
    <t>Gestion depersonnel</t>
  </si>
  <si>
    <t>Appro</t>
  </si>
  <si>
    <t>Atelier 1</t>
  </si>
  <si>
    <t>Atelier 2</t>
  </si>
  <si>
    <t>Administration</t>
  </si>
  <si>
    <t>Centres auxiliaires</t>
  </si>
  <si>
    <t>Centres principaux</t>
  </si>
  <si>
    <t>Total après répartition primaire</t>
  </si>
  <si>
    <t>Répartition secondaire : gesstion de matériel</t>
  </si>
  <si>
    <t>Gestion de personnel</t>
  </si>
  <si>
    <t>Total après répartition secondaire</t>
  </si>
  <si>
    <t>Nature de l’UO</t>
  </si>
  <si>
    <t>Nombre d’UO</t>
  </si>
  <si>
    <t>Coût de l’UO</t>
  </si>
  <si>
    <t>X</t>
  </si>
  <si>
    <t>Y</t>
  </si>
  <si>
    <t>1000€ de prix d'achat</t>
  </si>
  <si>
    <t>1kg d'excipient malaxé</t>
  </si>
  <si>
    <t>Nombre de produits finis</t>
  </si>
  <si>
    <t>Donne :</t>
  </si>
  <si>
    <t>100€ de prix d'achat</t>
  </si>
  <si>
    <t>Heures</t>
  </si>
  <si>
    <t>MOD</t>
  </si>
  <si>
    <t xml:space="preserve"> </t>
  </si>
  <si>
    <t>Excipient</t>
  </si>
  <si>
    <t>Principe actif</t>
  </si>
  <si>
    <t>Q</t>
  </si>
  <si>
    <t>CU</t>
  </si>
  <si>
    <t>M</t>
  </si>
  <si>
    <t>Pots vides</t>
  </si>
  <si>
    <t>Stock initial</t>
  </si>
  <si>
    <t>Entrées</t>
  </si>
  <si>
    <t>Stock final</t>
  </si>
  <si>
    <t>Excipients</t>
  </si>
  <si>
    <t>Frais d'achats</t>
  </si>
  <si>
    <t>Energie</t>
  </si>
  <si>
    <t xml:space="preserve">Forme </t>
  </si>
  <si>
    <t>Coût de prod</t>
  </si>
  <si>
    <t>Éléments</t>
  </si>
  <si>
    <t>Achats du mois</t>
  </si>
  <si>
    <t>Consommation du mois</t>
  </si>
  <si>
    <t xml:space="preserve"> (Quantité) </t>
  </si>
  <si>
    <t xml:space="preserve">(Quantité) </t>
  </si>
  <si>
    <t xml:space="preserve">Quantité </t>
  </si>
  <si>
    <t xml:space="preserve">Valeur </t>
  </si>
  <si>
    <t xml:space="preserve">Produit A </t>
  </si>
  <si>
    <t xml:space="preserve">Produit B </t>
  </si>
  <si>
    <t xml:space="preserve">Matière première </t>
  </si>
  <si>
    <t xml:space="preserve">Pièces détachées </t>
  </si>
  <si>
    <t>Production du mois (quantité)</t>
  </si>
  <si>
    <t>Stock final (quantité réelle)</t>
  </si>
  <si>
    <t>Ventes du mois (quantité)</t>
  </si>
  <si>
    <t xml:space="preserve">Produits </t>
  </si>
  <si>
    <t xml:space="preserve">Atelier 1 </t>
  </si>
  <si>
    <t xml:space="preserve">Atelier 2 </t>
  </si>
  <si>
    <t>14000 h</t>
  </si>
  <si>
    <t>24000 h</t>
  </si>
  <si>
    <t>7000 h</t>
  </si>
  <si>
    <t>16000 h</t>
  </si>
  <si>
    <t xml:space="preserve">Taux horaire </t>
  </si>
  <si>
    <t xml:space="preserve">Matières premières </t>
  </si>
  <si>
    <t xml:space="preserve">Prix d’achat </t>
  </si>
  <si>
    <t xml:space="preserve">Charge indirecte d’approv. </t>
  </si>
  <si>
    <t xml:space="preserve">Coût d’achat </t>
  </si>
  <si>
    <t>MOD direct (atelier 1)</t>
  </si>
  <si>
    <t>MOD direct (atelier 2)</t>
  </si>
  <si>
    <t>Matières premières</t>
  </si>
  <si>
    <t xml:space="preserve">Stock initial </t>
  </si>
  <si>
    <t xml:space="preserve">Sorties </t>
  </si>
  <si>
    <t xml:space="preserve">Entrées </t>
  </si>
  <si>
    <t xml:space="preserve">Stock final </t>
  </si>
  <si>
    <t xml:space="preserve">Total </t>
  </si>
  <si>
    <t>Charges indirectes (1)</t>
  </si>
  <si>
    <t>Charges indirectes (2)</t>
  </si>
  <si>
    <t>Forme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</si>
</sst>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€&quot;* #,##0.00_-;\-&quot;€&quot;* #,##0.00_-;_-&quot;€&quot;* &quot;-&quot;??_-;_-@_-"/>
    <numFmt numFmtId="164" formatCode="_-[$€-2]\ * #,##0.00_-;\-[$€-2]\ * #,##0.00_-;_-[$€-2]\ * &quot;-&quot;??_-;_-@_-"/>
    <numFmt numFmtId="165" formatCode="_-&quot;€&quot;* #,##0_-;\-&quot;€&quot;* #,##0_-;_-&quot;€&quot;* &quot;-&quot;??_-;_-@_-"/>
    <numFmt numFmtId="166" formatCode="0.0"/>
    <numFmt numFmtId="167" formatCode="#,##0\ [$€-1];[Red]\-#,##0\ [$€-1]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9C57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Symbol"/>
      <charset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.5"/>
      <color rgb="FF000000"/>
      <name val="Times New Roman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C6EFCE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5" fillId="12" borderId="0" applyNumberFormat="0" applyBorder="0" applyAlignment="0" applyProtection="0"/>
    <xf numFmtId="9" fontId="1" fillId="0" borderId="0" applyFont="0" applyFill="0" applyBorder="0" applyAlignment="0" applyProtection="0"/>
    <xf numFmtId="0" fontId="10" fillId="17" borderId="0" applyNumberFormat="0" applyBorder="0" applyAlignment="0" applyProtection="0"/>
  </cellStyleXfs>
  <cellXfs count="305">
    <xf numFmtId="0" fontId="0" fillId="0" borderId="0" xfId="0"/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44" fontId="0" fillId="2" borderId="1" xfId="1" applyFont="1" applyFill="1" applyBorder="1" applyAlignment="1">
      <alignment horizontal="center" vertical="center"/>
    </xf>
    <xf numFmtId="0" fontId="0" fillId="3" borderId="1" xfId="0" applyFill="1" applyBorder="1"/>
    <xf numFmtId="164" fontId="0" fillId="3" borderId="1" xfId="0" applyNumberFormat="1" applyFill="1" applyBorder="1"/>
    <xf numFmtId="44" fontId="0" fillId="3" borderId="1" xfId="1" applyFont="1" applyFill="1" applyBorder="1"/>
    <xf numFmtId="0" fontId="0" fillId="4" borderId="1" xfId="0" applyFill="1" applyBorder="1"/>
    <xf numFmtId="164" fontId="0" fillId="4" borderId="1" xfId="0" applyNumberFormat="1" applyFill="1" applyBorder="1"/>
    <xf numFmtId="44" fontId="0" fillId="4" borderId="1" xfId="1" applyFont="1" applyFill="1" applyBorder="1"/>
    <xf numFmtId="0" fontId="0" fillId="5" borderId="1" xfId="0" applyFill="1" applyBorder="1"/>
    <xf numFmtId="44" fontId="0" fillId="5" borderId="1" xfId="1" applyFont="1" applyFill="1" applyBorder="1"/>
    <xf numFmtId="0" fontId="0" fillId="6" borderId="1" xfId="0" applyFill="1" applyBorder="1"/>
    <xf numFmtId="164" fontId="0" fillId="6" borderId="1" xfId="0" applyNumberFormat="1" applyFill="1" applyBorder="1"/>
    <xf numFmtId="44" fontId="0" fillId="6" borderId="1" xfId="1" applyFont="1" applyFill="1" applyBorder="1"/>
    <xf numFmtId="164" fontId="0" fillId="0" borderId="0" xfId="0" applyNumberFormat="1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/>
    <xf numFmtId="164" fontId="0" fillId="0" borderId="1" xfId="1" applyNumberFormat="1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3" fillId="0" borderId="1" xfId="0" applyFont="1" applyBorder="1"/>
    <xf numFmtId="0" fontId="4" fillId="7" borderId="1" xfId="0" applyFont="1" applyFill="1" applyBorder="1" applyAlignment="1">
      <alignment horizontal="center" vertical="center"/>
    </xf>
    <xf numFmtId="164" fontId="4" fillId="7" borderId="3" xfId="0" applyNumberFormat="1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44" fontId="4" fillId="7" borderId="3" xfId="0" applyNumberFormat="1" applyFont="1" applyFill="1" applyBorder="1" applyAlignment="1">
      <alignment horizontal="center" vertical="center"/>
    </xf>
    <xf numFmtId="0" fontId="4" fillId="8" borderId="2" xfId="0" applyFont="1" applyFill="1" applyBorder="1"/>
    <xf numFmtId="164" fontId="4" fillId="8" borderId="4" xfId="0" applyNumberFormat="1" applyFont="1" applyFill="1" applyBorder="1"/>
    <xf numFmtId="0" fontId="4" fillId="8" borderId="4" xfId="0" applyFont="1" applyFill="1" applyBorder="1"/>
    <xf numFmtId="44" fontId="4" fillId="8" borderId="4" xfId="0" applyNumberFormat="1" applyFont="1" applyFill="1" applyBorder="1"/>
    <xf numFmtId="0" fontId="4" fillId="9" borderId="2" xfId="0" applyFont="1" applyFill="1" applyBorder="1"/>
    <xf numFmtId="164" fontId="4" fillId="9" borderId="4" xfId="0" applyNumberFormat="1" applyFont="1" applyFill="1" applyBorder="1"/>
    <xf numFmtId="0" fontId="4" fillId="9" borderId="4" xfId="0" applyFont="1" applyFill="1" applyBorder="1"/>
    <xf numFmtId="44" fontId="4" fillId="9" borderId="4" xfId="0" applyNumberFormat="1" applyFont="1" applyFill="1" applyBorder="1"/>
    <xf numFmtId="0" fontId="4" fillId="10" borderId="4" xfId="0" applyFont="1" applyFill="1" applyBorder="1"/>
    <xf numFmtId="44" fontId="4" fillId="10" borderId="4" xfId="0" applyNumberFormat="1" applyFont="1" applyFill="1" applyBorder="1"/>
    <xf numFmtId="0" fontId="4" fillId="11" borderId="2" xfId="0" applyFont="1" applyFill="1" applyBorder="1"/>
    <xf numFmtId="164" fontId="4" fillId="11" borderId="4" xfId="0" applyNumberFormat="1" applyFont="1" applyFill="1" applyBorder="1"/>
    <xf numFmtId="0" fontId="4" fillId="11" borderId="4" xfId="0" applyFont="1" applyFill="1" applyBorder="1"/>
    <xf numFmtId="44" fontId="4" fillId="11" borderId="4" xfId="0" applyNumberFormat="1" applyFont="1" applyFill="1" applyBorder="1"/>
    <xf numFmtId="0" fontId="2" fillId="9" borderId="4" xfId="0" applyFont="1" applyFill="1" applyBorder="1"/>
    <xf numFmtId="44" fontId="2" fillId="9" borderId="4" xfId="0" applyNumberFormat="1" applyFont="1" applyFill="1" applyBorder="1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justify" vertical="center"/>
    </xf>
    <xf numFmtId="0" fontId="5" fillId="12" borderId="0" xfId="2" applyAlignment="1">
      <alignment horizontal="justify" vertical="center"/>
    </xf>
    <xf numFmtId="0" fontId="0" fillId="0" borderId="0" xfId="0" applyAlignment="1">
      <alignment horizontal="left"/>
    </xf>
    <xf numFmtId="0" fontId="4" fillId="0" borderId="0" xfId="0" applyFont="1"/>
    <xf numFmtId="0" fontId="4" fillId="10" borderId="2" xfId="0" applyFont="1" applyFill="1" applyBorder="1"/>
    <xf numFmtId="0" fontId="2" fillId="9" borderId="2" xfId="0" applyFont="1" applyFill="1" applyBorder="1"/>
    <xf numFmtId="164" fontId="2" fillId="9" borderId="4" xfId="0" applyNumberFormat="1" applyFont="1" applyFill="1" applyBorder="1"/>
    <xf numFmtId="164" fontId="0" fillId="0" borderId="0" xfId="0" applyNumberFormat="1"/>
    <xf numFmtId="0" fontId="2" fillId="4" borderId="1" xfId="0" applyFont="1" applyFill="1" applyBorder="1"/>
    <xf numFmtId="164" fontId="2" fillId="4" borderId="1" xfId="0" applyNumberFormat="1" applyFont="1" applyFill="1" applyBorder="1"/>
    <xf numFmtId="0" fontId="4" fillId="0" borderId="0" xfId="0" applyFont="1" applyAlignment="1">
      <alignment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4" fontId="2" fillId="0" borderId="4" xfId="0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9" fontId="2" fillId="0" borderId="4" xfId="3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44" fontId="2" fillId="0" borderId="1" xfId="1" applyFont="1" applyBorder="1" applyAlignment="1">
      <alignment horizontal="center" vertical="center"/>
    </xf>
    <xf numFmtId="44" fontId="0" fillId="0" borderId="0" xfId="1" applyFont="1" applyAlignment="1">
      <alignment horizontal="right" vertical="center"/>
    </xf>
    <xf numFmtId="44" fontId="0" fillId="0" borderId="1" xfId="1" applyFont="1" applyBorder="1" applyAlignment="1">
      <alignment horizontal="right" vertical="center"/>
    </xf>
    <xf numFmtId="44" fontId="2" fillId="0" borderId="1" xfId="1" applyFont="1" applyBorder="1" applyAlignment="1">
      <alignment horizontal="right" vertical="center"/>
    </xf>
    <xf numFmtId="0" fontId="0" fillId="0" borderId="0" xfId="1" applyNumberFormat="1" applyFont="1" applyAlignment="1">
      <alignment horizontal="right" vertical="center"/>
    </xf>
    <xf numFmtId="44" fontId="0" fillId="0" borderId="0" xfId="0" applyNumberFormat="1"/>
    <xf numFmtId="44" fontId="4" fillId="0" borderId="4" xfId="1" applyFont="1" applyBorder="1" applyAlignment="1">
      <alignment horizontal="center" vertical="center"/>
    </xf>
    <xf numFmtId="44" fontId="0" fillId="0" borderId="1" xfId="3" applyNumberFormat="1" applyFont="1" applyBorder="1" applyAlignment="1">
      <alignment horizontal="center" vertical="center"/>
    </xf>
    <xf numFmtId="0" fontId="0" fillId="13" borderId="1" xfId="0" applyFill="1" applyBorder="1"/>
    <xf numFmtId="44" fontId="0" fillId="13" borderId="1" xfId="1" applyFont="1" applyFill="1" applyBorder="1"/>
    <xf numFmtId="0" fontId="4" fillId="14" borderId="2" xfId="0" applyFont="1" applyFill="1" applyBorder="1" applyAlignment="1">
      <alignment vertical="center"/>
    </xf>
    <xf numFmtId="44" fontId="4" fillId="14" borderId="4" xfId="0" applyNumberFormat="1" applyFont="1" applyFill="1" applyBorder="1" applyAlignment="1">
      <alignment vertical="center"/>
    </xf>
    <xf numFmtId="0" fontId="4" fillId="14" borderId="4" xfId="0" applyFont="1" applyFill="1" applyBorder="1" applyAlignment="1">
      <alignment vertical="center"/>
    </xf>
    <xf numFmtId="0" fontId="0" fillId="0" borderId="1" xfId="0" applyBorder="1" applyAlignment="1">
      <alignment horizontal="right" vertical="center"/>
    </xf>
    <xf numFmtId="9" fontId="4" fillId="0" borderId="4" xfId="3" applyFont="1" applyBorder="1" applyAlignment="1">
      <alignment horizontal="center" vertical="center"/>
    </xf>
    <xf numFmtId="44" fontId="0" fillId="0" borderId="0" xfId="1" applyFont="1"/>
    <xf numFmtId="44" fontId="0" fillId="0" borderId="0" xfId="1" applyFont="1" applyAlignment="1">
      <alignment vertical="center"/>
    </xf>
    <xf numFmtId="44" fontId="0" fillId="0" borderId="1" xfId="1" applyFont="1" applyBorder="1" applyAlignment="1">
      <alignment vertical="center"/>
    </xf>
    <xf numFmtId="0" fontId="0" fillId="0" borderId="1" xfId="1" applyNumberFormat="1" applyFont="1" applyBorder="1" applyAlignment="1">
      <alignment vertical="center"/>
    </xf>
    <xf numFmtId="2" fontId="0" fillId="0" borderId="0" xfId="0" applyNumberFormat="1"/>
    <xf numFmtId="10" fontId="0" fillId="0" borderId="0" xfId="3" applyNumberFormat="1" applyFont="1"/>
    <xf numFmtId="44" fontId="0" fillId="0" borderId="1" xfId="1" applyFont="1" applyBorder="1"/>
    <xf numFmtId="9" fontId="0" fillId="0" borderId="1" xfId="0" applyNumberFormat="1" applyBorder="1"/>
    <xf numFmtId="0" fontId="0" fillId="0" borderId="1" xfId="0" applyBorder="1" applyAlignment="1">
      <alignment horizontal="center"/>
    </xf>
    <xf numFmtId="10" fontId="0" fillId="0" borderId="1" xfId="3" applyNumberFormat="1" applyFont="1" applyBorder="1"/>
    <xf numFmtId="10" fontId="0" fillId="0" borderId="1" xfId="0" applyNumberFormat="1" applyBorder="1"/>
    <xf numFmtId="44" fontId="0" fillId="0" borderId="1" xfId="0" applyNumberFormat="1" applyBorder="1"/>
    <xf numFmtId="1" fontId="0" fillId="0" borderId="0" xfId="0" applyNumberFormat="1"/>
    <xf numFmtId="9" fontId="0" fillId="0" borderId="0" xfId="3" applyFont="1"/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/>
    <xf numFmtId="0" fontId="4" fillId="0" borderId="4" xfId="0" applyFont="1" applyBorder="1"/>
    <xf numFmtId="0" fontId="4" fillId="0" borderId="2" xfId="0" applyFont="1" applyBorder="1" applyAlignment="1">
      <alignment horizontal="center" vertical="center"/>
    </xf>
    <xf numFmtId="44" fontId="4" fillId="0" borderId="4" xfId="0" applyNumberFormat="1" applyFont="1" applyBorder="1"/>
    <xf numFmtId="10" fontId="4" fillId="0" borderId="0" xfId="0" applyNumberFormat="1" applyFont="1"/>
    <xf numFmtId="165" fontId="0" fillId="0" borderId="0" xfId="0" applyNumberFormat="1"/>
    <xf numFmtId="165" fontId="4" fillId="0" borderId="0" xfId="0" applyNumberFormat="1" applyFont="1"/>
    <xf numFmtId="165" fontId="4" fillId="0" borderId="4" xfId="0" applyNumberFormat="1" applyFont="1" applyBorder="1"/>
    <xf numFmtId="165" fontId="0" fillId="0" borderId="1" xfId="1" applyNumberFormat="1" applyFont="1" applyBorder="1"/>
    <xf numFmtId="0" fontId="4" fillId="0" borderId="7" xfId="0" applyFont="1" applyBorder="1" applyAlignment="1">
      <alignment horizontal="center" vertical="center"/>
    </xf>
    <xf numFmtId="1" fontId="4" fillId="0" borderId="0" xfId="0" applyNumberFormat="1" applyFont="1"/>
    <xf numFmtId="0" fontId="0" fillId="0" borderId="0" xfId="1" applyNumberFormat="1" applyFont="1"/>
    <xf numFmtId="0" fontId="8" fillId="15" borderId="8" xfId="0" applyFont="1" applyFill="1" applyBorder="1" applyAlignment="1">
      <alignment horizontal="center" vertical="center"/>
    </xf>
    <xf numFmtId="0" fontId="8" fillId="15" borderId="9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right" vertical="center"/>
    </xf>
    <xf numFmtId="164" fontId="9" fillId="0" borderId="11" xfId="0" applyNumberFormat="1" applyFont="1" applyBorder="1" applyAlignment="1">
      <alignment horizontal="right" vertical="center"/>
    </xf>
    <xf numFmtId="44" fontId="9" fillId="0" borderId="11" xfId="1" applyFont="1" applyBorder="1" applyAlignment="1">
      <alignment horizontal="right" vertical="center"/>
    </xf>
    <xf numFmtId="0" fontId="9" fillId="0" borderId="10" xfId="0" applyFont="1" applyBorder="1" applyAlignment="1">
      <alignment horizontal="left" vertical="center"/>
    </xf>
    <xf numFmtId="164" fontId="0" fillId="16" borderId="0" xfId="0" applyNumberFormat="1" applyFill="1"/>
    <xf numFmtId="2" fontId="0" fillId="0" borderId="0" xfId="1" applyNumberFormat="1" applyFont="1"/>
    <xf numFmtId="0" fontId="0" fillId="0" borderId="0" xfId="0" applyAlignment="1">
      <alignment horizontal="center" vertical="center"/>
    </xf>
    <xf numFmtId="0" fontId="0" fillId="0" borderId="1" xfId="1" applyNumberFormat="1" applyFont="1" applyBorder="1"/>
    <xf numFmtId="1" fontId="0" fillId="0" borderId="0" xfId="1" applyNumberFormat="1" applyFont="1"/>
    <xf numFmtId="9" fontId="0" fillId="0" borderId="0" xfId="3" applyFont="1" applyAlignment="1">
      <alignment vertical="center"/>
    </xf>
    <xf numFmtId="9" fontId="0" fillId="0" borderId="1" xfId="3" applyFont="1" applyBorder="1" applyAlignment="1">
      <alignment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vertical="center"/>
    </xf>
    <xf numFmtId="165" fontId="0" fillId="0" borderId="1" xfId="0" applyNumberFormat="1" applyBorder="1"/>
    <xf numFmtId="10" fontId="0" fillId="0" borderId="1" xfId="3" applyNumberFormat="1" applyFont="1" applyBorder="1" applyAlignment="1">
      <alignment vertical="center"/>
    </xf>
    <xf numFmtId="10" fontId="0" fillId="0" borderId="1" xfId="0" applyNumberFormat="1" applyBorder="1" applyAlignment="1">
      <alignment vertical="center"/>
    </xf>
    <xf numFmtId="165" fontId="4" fillId="2" borderId="4" xfId="0" applyNumberFormat="1" applyFont="1" applyFill="1" applyBorder="1"/>
    <xf numFmtId="16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18" borderId="1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2" borderId="14" xfId="0" applyNumberForma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6" xfId="0" applyBorder="1"/>
    <xf numFmtId="16" fontId="0" fillId="0" borderId="16" xfId="0" applyNumberFormat="1" applyBorder="1" applyAlignment="1">
      <alignment vertical="center"/>
    </xf>
    <xf numFmtId="0" fontId="0" fillId="0" borderId="16" xfId="0" applyBorder="1" applyAlignment="1">
      <alignment horizontal="center" vertical="center" wrapText="1"/>
    </xf>
    <xf numFmtId="0" fontId="12" fillId="0" borderId="16" xfId="0" applyFont="1" applyBorder="1" applyAlignment="1">
      <alignment horizontal="justify" vertical="center"/>
    </xf>
    <xf numFmtId="16" fontId="0" fillId="0" borderId="16" xfId="0" applyNumberFormat="1" applyBorder="1" applyAlignment="1">
      <alignment horizontal="center" vertical="center"/>
    </xf>
    <xf numFmtId="166" fontId="0" fillId="0" borderId="16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5" xfId="0" applyBorder="1" applyAlignment="1">
      <alignment horizontal="center" vertical="center" wrapText="1"/>
    </xf>
    <xf numFmtId="0" fontId="0" fillId="0" borderId="27" xfId="0" applyBorder="1" applyAlignment="1">
      <alignment vertical="center"/>
    </xf>
    <xf numFmtId="0" fontId="0" fillId="0" borderId="22" xfId="0" applyBorder="1" applyAlignment="1">
      <alignment vertical="center" wrapText="1"/>
    </xf>
    <xf numFmtId="9" fontId="0" fillId="0" borderId="22" xfId="0" applyNumberFormat="1" applyBorder="1" applyAlignment="1">
      <alignment vertical="center"/>
    </xf>
    <xf numFmtId="1" fontId="0" fillId="0" borderId="22" xfId="0" applyNumberFormat="1" applyBorder="1" applyAlignment="1">
      <alignment vertical="center"/>
    </xf>
    <xf numFmtId="9" fontId="0" fillId="0" borderId="22" xfId="3" applyFont="1" applyBorder="1" applyAlignment="1">
      <alignment vertical="center"/>
    </xf>
    <xf numFmtId="1" fontId="0" fillId="0" borderId="22" xfId="3" applyNumberFormat="1" applyFont="1" applyBorder="1" applyAlignment="1">
      <alignment vertical="center"/>
    </xf>
    <xf numFmtId="0" fontId="0" fillId="2" borderId="22" xfId="0" applyFill="1" applyBorder="1" applyAlignment="1">
      <alignment vertical="center"/>
    </xf>
    <xf numFmtId="2" fontId="0" fillId="19" borderId="22" xfId="0" applyNumberFormat="1" applyFill="1" applyBorder="1" applyAlignment="1">
      <alignment vertical="center"/>
    </xf>
    <xf numFmtId="0" fontId="0" fillId="20" borderId="22" xfId="0" applyFill="1" applyBorder="1" applyAlignment="1">
      <alignment vertical="center"/>
    </xf>
    <xf numFmtId="44" fontId="0" fillId="0" borderId="22" xfId="1" applyFont="1" applyBorder="1" applyAlignment="1">
      <alignment vertical="center"/>
    </xf>
    <xf numFmtId="0" fontId="0" fillId="21" borderId="1" xfId="0" applyFill="1" applyBorder="1" applyAlignment="1">
      <alignment horizontal="center" vertical="center"/>
    </xf>
    <xf numFmtId="0" fontId="0" fillId="21" borderId="14" xfId="0" applyFill="1" applyBorder="1" applyAlignment="1">
      <alignment horizontal="center" vertical="center"/>
    </xf>
    <xf numFmtId="166" fontId="0" fillId="21" borderId="1" xfId="0" applyNumberFormat="1" applyFill="1" applyBorder="1" applyAlignment="1">
      <alignment horizontal="center" vertical="center"/>
    </xf>
    <xf numFmtId="0" fontId="5" fillId="12" borderId="1" xfId="2" applyBorder="1" applyAlignment="1">
      <alignment horizontal="center" vertical="center"/>
    </xf>
    <xf numFmtId="0" fontId="10" fillId="17" borderId="1" xfId="4" applyBorder="1" applyAlignment="1">
      <alignment horizontal="center" vertical="center"/>
    </xf>
    <xf numFmtId="16" fontId="10" fillId="17" borderId="1" xfId="4" applyNumberFormat="1" applyBorder="1" applyAlignment="1">
      <alignment horizontal="center" vertical="center"/>
    </xf>
    <xf numFmtId="16" fontId="10" fillId="17" borderId="14" xfId="4" applyNumberFormat="1" applyBorder="1" applyAlignment="1">
      <alignment horizontal="center" vertical="center"/>
    </xf>
    <xf numFmtId="0" fontId="10" fillId="17" borderId="22" xfId="4" applyBorder="1" applyAlignment="1">
      <alignment horizontal="center" vertical="center"/>
    </xf>
    <xf numFmtId="0" fontId="10" fillId="17" borderId="22" xfId="4" applyBorder="1" applyAlignment="1">
      <alignment vertical="center" wrapText="1"/>
    </xf>
    <xf numFmtId="0" fontId="5" fillId="12" borderId="22" xfId="2" applyBorder="1" applyAlignment="1">
      <alignment horizontal="center" vertical="center"/>
    </xf>
    <xf numFmtId="3" fontId="0" fillId="21" borderId="22" xfId="0" applyNumberFormat="1" applyFill="1" applyBorder="1" applyAlignment="1">
      <alignment vertical="center"/>
    </xf>
    <xf numFmtId="9" fontId="0" fillId="21" borderId="22" xfId="3" applyFont="1" applyFill="1" applyBorder="1" applyAlignment="1">
      <alignment vertical="center"/>
    </xf>
    <xf numFmtId="0" fontId="0" fillId="21" borderId="22" xfId="0" applyFill="1" applyBorder="1" applyAlignment="1">
      <alignment vertical="center"/>
    </xf>
    <xf numFmtId="9" fontId="0" fillId="21" borderId="22" xfId="0" applyNumberFormat="1" applyFill="1" applyBorder="1" applyAlignment="1">
      <alignment vertical="center"/>
    </xf>
    <xf numFmtId="0" fontId="0" fillId="21" borderId="22" xfId="0" applyFill="1" applyBorder="1" applyAlignment="1">
      <alignment vertical="center" wrapText="1"/>
    </xf>
    <xf numFmtId="1" fontId="0" fillId="21" borderId="22" xfId="0" applyNumberFormat="1" applyFill="1" applyBorder="1" applyAlignment="1">
      <alignment vertical="center"/>
    </xf>
    <xf numFmtId="44" fontId="0" fillId="21" borderId="22" xfId="1" applyFont="1" applyFill="1" applyBorder="1" applyAlignment="1">
      <alignment vertical="center"/>
    </xf>
    <xf numFmtId="0" fontId="0" fillId="21" borderId="22" xfId="0" applyFill="1" applyBorder="1" applyAlignment="1">
      <alignment horizontal="center" vertical="center" wrapText="1"/>
    </xf>
    <xf numFmtId="0" fontId="14" fillId="0" borderId="22" xfId="0" applyFont="1" applyBorder="1" applyAlignment="1">
      <alignment vertical="center" wrapText="1"/>
    </xf>
    <xf numFmtId="0" fontId="13" fillId="0" borderId="22" xfId="0" applyFont="1" applyBorder="1" applyAlignment="1">
      <alignment vertical="center" wrapText="1"/>
    </xf>
    <xf numFmtId="0" fontId="10" fillId="17" borderId="22" xfId="4" applyBorder="1" applyAlignment="1">
      <alignment horizontal="center" vertical="center" wrapText="1"/>
    </xf>
    <xf numFmtId="0" fontId="10" fillId="17" borderId="22" xfId="4" applyBorder="1" applyAlignment="1">
      <alignment wrapText="1"/>
    </xf>
    <xf numFmtId="0" fontId="5" fillId="12" borderId="22" xfId="2" applyBorder="1" applyAlignment="1">
      <alignment horizontal="center" vertical="center" wrapText="1"/>
    </xf>
    <xf numFmtId="0" fontId="14" fillId="21" borderId="22" xfId="0" applyFont="1" applyFill="1" applyBorder="1" applyAlignment="1">
      <alignment vertical="center" wrapText="1"/>
    </xf>
    <xf numFmtId="0" fontId="10" fillId="17" borderId="22" xfId="4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11" fillId="0" borderId="22" xfId="0" applyFont="1" applyBorder="1" applyAlignment="1">
      <alignment vertical="center"/>
    </xf>
    <xf numFmtId="0" fontId="11" fillId="21" borderId="22" xfId="0" applyFont="1" applyFill="1" applyBorder="1" applyAlignment="1">
      <alignment vertical="center"/>
    </xf>
    <xf numFmtId="0" fontId="15" fillId="22" borderId="22" xfId="0" applyFont="1" applyFill="1" applyBorder="1" applyAlignment="1">
      <alignment horizontal="center" vertical="center"/>
    </xf>
    <xf numFmtId="3" fontId="17" fillId="22" borderId="22" xfId="0" applyNumberFormat="1" applyFont="1" applyFill="1" applyBorder="1" applyAlignment="1">
      <alignment horizontal="right" vertical="center" wrapText="1"/>
    </xf>
    <xf numFmtId="167" fontId="17" fillId="22" borderId="22" xfId="0" applyNumberFormat="1" applyFont="1" applyFill="1" applyBorder="1" applyAlignment="1">
      <alignment horizontal="right" vertical="center" wrapText="1"/>
    </xf>
    <xf numFmtId="2" fontId="14" fillId="0" borderId="22" xfId="0" applyNumberFormat="1" applyFont="1" applyBorder="1" applyAlignment="1">
      <alignment vertical="center" wrapText="1"/>
    </xf>
    <xf numFmtId="0" fontId="10" fillId="17" borderId="22" xfId="4" applyBorder="1"/>
    <xf numFmtId="3" fontId="17" fillId="21" borderId="22" xfId="0" applyNumberFormat="1" applyFont="1" applyFill="1" applyBorder="1" applyAlignment="1">
      <alignment horizontal="right" vertical="center" wrapText="1"/>
    </xf>
    <xf numFmtId="167" fontId="17" fillId="21" borderId="22" xfId="0" applyNumberFormat="1" applyFont="1" applyFill="1" applyBorder="1" applyAlignment="1">
      <alignment horizontal="right" vertical="center" wrapText="1"/>
    </xf>
    <xf numFmtId="167" fontId="17" fillId="2" borderId="22" xfId="0" applyNumberFormat="1" applyFont="1" applyFill="1" applyBorder="1" applyAlignment="1">
      <alignment horizontal="right" vertical="center" wrapText="1"/>
    </xf>
    <xf numFmtId="0" fontId="0" fillId="0" borderId="26" xfId="0" applyBorder="1" applyAlignment="1">
      <alignment vertical="center"/>
    </xf>
    <xf numFmtId="0" fontId="17" fillId="0" borderId="22" xfId="0" applyFont="1" applyBorder="1" applyAlignment="1">
      <alignment horizontal="right" vertical="center" wrapText="1"/>
    </xf>
    <xf numFmtId="0" fontId="17" fillId="0" borderId="22" xfId="0" applyFont="1" applyBorder="1" applyAlignment="1">
      <alignment vertical="center" wrapText="1"/>
    </xf>
    <xf numFmtId="0" fontId="4" fillId="0" borderId="22" xfId="0" applyFont="1" applyBorder="1" applyAlignment="1">
      <alignment horizontal="right" vertical="center" wrapText="1"/>
    </xf>
    <xf numFmtId="3" fontId="4" fillId="0" borderId="22" xfId="0" applyNumberFormat="1" applyFont="1" applyBorder="1" applyAlignment="1">
      <alignment horizontal="right" vertical="center" wrapText="1"/>
    </xf>
    <xf numFmtId="0" fontId="0" fillId="0" borderId="36" xfId="0" applyBorder="1" applyAlignment="1">
      <alignment vertical="center"/>
    </xf>
    <xf numFmtId="167" fontId="17" fillId="0" borderId="22" xfId="0" applyNumberFormat="1" applyFont="1" applyBorder="1" applyAlignment="1">
      <alignment horizontal="right" vertical="center" wrapText="1"/>
    </xf>
    <xf numFmtId="0" fontId="17" fillId="21" borderId="22" xfId="0" applyFont="1" applyFill="1" applyBorder="1" applyAlignment="1">
      <alignment horizontal="right" vertical="center" wrapText="1"/>
    </xf>
    <xf numFmtId="12" fontId="11" fillId="0" borderId="22" xfId="0" applyNumberFormat="1" applyFont="1" applyBorder="1" applyAlignment="1">
      <alignment vertical="center"/>
    </xf>
    <xf numFmtId="12" fontId="11" fillId="21" borderId="22" xfId="0" applyNumberFormat="1" applyFont="1" applyFill="1" applyBorder="1" applyAlignment="1">
      <alignment vertical="center"/>
    </xf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6" fillId="0" borderId="22" xfId="0" applyFont="1" applyBorder="1" applyAlignment="1">
      <alignment vertical="center"/>
    </xf>
    <xf numFmtId="0" fontId="17" fillId="21" borderId="22" xfId="0" applyFont="1" applyFill="1" applyBorder="1" applyAlignment="1">
      <alignment vertical="center" wrapText="1"/>
    </xf>
    <xf numFmtId="0" fontId="16" fillId="21" borderId="22" xfId="0" applyFont="1" applyFill="1" applyBorder="1" applyAlignment="1">
      <alignment vertical="center"/>
    </xf>
    <xf numFmtId="44" fontId="11" fillId="21" borderId="22" xfId="0" applyNumberFormat="1" applyFont="1" applyFill="1" applyBorder="1" applyAlignment="1">
      <alignment vertical="center"/>
    </xf>
    <xf numFmtId="0" fontId="0" fillId="0" borderId="30" xfId="0" applyBorder="1"/>
    <xf numFmtId="44" fontId="11" fillId="0" borderId="22" xfId="0" applyNumberFormat="1" applyFont="1" applyBorder="1" applyAlignment="1">
      <alignment vertical="center"/>
    </xf>
    <xf numFmtId="44" fontId="11" fillId="21" borderId="22" xfId="1" applyFont="1" applyFill="1" applyBorder="1" applyAlignment="1">
      <alignment vertical="center"/>
    </xf>
    <xf numFmtId="165" fontId="11" fillId="21" borderId="22" xfId="1" applyNumberFormat="1" applyFont="1" applyFill="1" applyBorder="1" applyAlignment="1">
      <alignment vertical="center"/>
    </xf>
    <xf numFmtId="0" fontId="5" fillId="12" borderId="22" xfId="2" applyBorder="1"/>
    <xf numFmtId="44" fontId="14" fillId="21" borderId="22" xfId="0" applyNumberFormat="1" applyFont="1" applyFill="1" applyBorder="1" applyAlignment="1">
      <alignment vertical="center" wrapText="1"/>
    </xf>
    <xf numFmtId="165" fontId="14" fillId="0" borderId="22" xfId="1" applyNumberFormat="1" applyFont="1" applyBorder="1" applyAlignment="1">
      <alignment vertical="center" wrapText="1"/>
    </xf>
    <xf numFmtId="165" fontId="14" fillId="21" borderId="22" xfId="1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44" fontId="9" fillId="0" borderId="12" xfId="1" applyFont="1" applyBorder="1" applyAlignment="1">
      <alignment vertical="center"/>
    </xf>
    <xf numFmtId="44" fontId="9" fillId="0" borderId="13" xfId="1" applyFont="1" applyBorder="1" applyAlignment="1">
      <alignment vertical="center"/>
    </xf>
    <xf numFmtId="44" fontId="9" fillId="0" borderId="9" xfId="1" applyFont="1" applyBorder="1" applyAlignment="1">
      <alignment vertical="center"/>
    </xf>
    <xf numFmtId="0" fontId="0" fillId="0" borderId="1" xfId="0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65" fontId="4" fillId="0" borderId="5" xfId="0" applyNumberFormat="1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10" fillId="17" borderId="5" xfId="4" applyBorder="1" applyAlignment="1">
      <alignment horizontal="center" vertical="center"/>
    </xf>
    <xf numFmtId="0" fontId="10" fillId="17" borderId="15" xfId="4" applyBorder="1" applyAlignment="1">
      <alignment horizontal="center" vertical="center"/>
    </xf>
    <xf numFmtId="0" fontId="10" fillId="17" borderId="3" xfId="4" applyBorder="1" applyAlignment="1">
      <alignment horizontal="center" vertical="center"/>
    </xf>
    <xf numFmtId="0" fontId="10" fillId="17" borderId="17" xfId="4" applyBorder="1" applyAlignment="1">
      <alignment horizontal="center" vertical="center"/>
    </xf>
    <xf numFmtId="0" fontId="10" fillId="17" borderId="18" xfId="4" applyBorder="1" applyAlignment="1">
      <alignment horizontal="center" vertical="center"/>
    </xf>
    <xf numFmtId="0" fontId="10" fillId="17" borderId="19" xfId="4" applyBorder="1" applyAlignment="1">
      <alignment horizontal="center" vertical="center"/>
    </xf>
    <xf numFmtId="0" fontId="10" fillId="17" borderId="20" xfId="4" applyBorder="1" applyAlignment="1">
      <alignment horizontal="center" vertical="center"/>
    </xf>
    <xf numFmtId="0" fontId="10" fillId="17" borderId="21" xfId="4" applyBorder="1" applyAlignment="1">
      <alignment horizontal="center" vertical="center"/>
    </xf>
    <xf numFmtId="0" fontId="10" fillId="17" borderId="4" xfId="4" applyBorder="1" applyAlignment="1">
      <alignment horizontal="center" vertical="center"/>
    </xf>
    <xf numFmtId="16" fontId="10" fillId="17" borderId="14" xfId="4" applyNumberFormat="1" applyBorder="1" applyAlignment="1">
      <alignment horizontal="center" vertical="center"/>
    </xf>
    <xf numFmtId="16" fontId="10" fillId="17" borderId="7" xfId="4" applyNumberFormat="1" applyBorder="1" applyAlignment="1">
      <alignment horizontal="center" vertical="center"/>
    </xf>
    <xf numFmtId="16" fontId="10" fillId="17" borderId="2" xfId="4" applyNumberFormat="1" applyBorder="1" applyAlignment="1">
      <alignment horizontal="center" vertical="center"/>
    </xf>
    <xf numFmtId="16" fontId="10" fillId="17" borderId="5" xfId="4" applyNumberFormat="1" applyBorder="1" applyAlignment="1">
      <alignment horizontal="center" vertical="center"/>
    </xf>
    <xf numFmtId="0" fontId="10" fillId="17" borderId="1" xfId="4" applyBorder="1" applyAlignment="1">
      <alignment horizontal="center" vertical="center"/>
    </xf>
    <xf numFmtId="16" fontId="10" fillId="17" borderId="1" xfId="4" applyNumberForma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0" fontId="10" fillId="17" borderId="32" xfId="4" applyBorder="1" applyAlignment="1">
      <alignment horizontal="center" vertical="center"/>
    </xf>
    <xf numFmtId="0" fontId="10" fillId="17" borderId="33" xfId="4" applyBorder="1" applyAlignment="1">
      <alignment horizontal="center" vertical="center"/>
    </xf>
    <xf numFmtId="0" fontId="10" fillId="17" borderId="34" xfId="4" applyBorder="1" applyAlignment="1">
      <alignment horizontal="center" vertical="center"/>
    </xf>
    <xf numFmtId="0" fontId="10" fillId="17" borderId="22" xfId="4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" fontId="0" fillId="0" borderId="16" xfId="0" applyNumberFormat="1" applyBorder="1" applyAlignment="1">
      <alignment horizontal="center" vertical="center"/>
    </xf>
    <xf numFmtId="16" fontId="0" fillId="0" borderId="29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0" fillId="17" borderId="22" xfId="4" applyBorder="1" applyAlignment="1">
      <alignment horizontal="center" vertical="center" wrapText="1"/>
    </xf>
    <xf numFmtId="0" fontId="0" fillId="0" borderId="35" xfId="0" applyBorder="1"/>
    <xf numFmtId="0" fontId="0" fillId="0" borderId="36" xfId="0" applyBorder="1"/>
    <xf numFmtId="0" fontId="4" fillId="0" borderId="16" xfId="0" applyFont="1" applyBorder="1"/>
    <xf numFmtId="0" fontId="4" fillId="0" borderId="28" xfId="0" applyFont="1" applyBorder="1"/>
    <xf numFmtId="0" fontId="4" fillId="7" borderId="22" xfId="0" applyFont="1" applyFill="1" applyBorder="1" applyAlignment="1">
      <alignment horizontal="center" vertical="center"/>
    </xf>
    <xf numFmtId="164" fontId="4" fillId="7" borderId="22" xfId="0" applyNumberFormat="1" applyFont="1" applyFill="1" applyBorder="1" applyAlignment="1">
      <alignment horizontal="center" vertical="center"/>
    </xf>
    <xf numFmtId="44" fontId="4" fillId="7" borderId="22" xfId="0" applyNumberFormat="1" applyFont="1" applyFill="1" applyBorder="1" applyAlignment="1">
      <alignment horizontal="center" vertical="center"/>
    </xf>
    <xf numFmtId="0" fontId="4" fillId="8" borderId="22" xfId="0" applyFont="1" applyFill="1" applyBorder="1"/>
    <xf numFmtId="164" fontId="4" fillId="8" borderId="22" xfId="0" applyNumberFormat="1" applyFont="1" applyFill="1" applyBorder="1"/>
    <xf numFmtId="44" fontId="4" fillId="8" borderId="22" xfId="0" applyNumberFormat="1" applyFont="1" applyFill="1" applyBorder="1"/>
    <xf numFmtId="0" fontId="0" fillId="0" borderId="22" xfId="0" applyBorder="1"/>
    <xf numFmtId="164" fontId="0" fillId="0" borderId="22" xfId="0" applyNumberFormat="1" applyBorder="1" applyAlignment="1">
      <alignment vertical="center"/>
    </xf>
    <xf numFmtId="0" fontId="4" fillId="9" borderId="22" xfId="0" applyFont="1" applyFill="1" applyBorder="1"/>
    <xf numFmtId="164" fontId="4" fillId="9" borderId="22" xfId="0" applyNumberFormat="1" applyFont="1" applyFill="1" applyBorder="1"/>
    <xf numFmtId="44" fontId="4" fillId="9" borderId="22" xfId="0" applyNumberFormat="1" applyFont="1" applyFill="1" applyBorder="1"/>
    <xf numFmtId="0" fontId="4" fillId="11" borderId="22" xfId="0" applyFont="1" applyFill="1" applyBorder="1"/>
    <xf numFmtId="164" fontId="4" fillId="11" borderId="22" xfId="0" applyNumberFormat="1" applyFont="1" applyFill="1" applyBorder="1"/>
    <xf numFmtId="44" fontId="4" fillId="11" borderId="22" xfId="0" applyNumberFormat="1" applyFont="1" applyFill="1" applyBorder="1"/>
    <xf numFmtId="0" fontId="4" fillId="14" borderId="22" xfId="0" applyFont="1" applyFill="1" applyBorder="1" applyAlignment="1">
      <alignment vertical="center"/>
    </xf>
    <xf numFmtId="44" fontId="4" fillId="14" borderId="22" xfId="0" applyNumberFormat="1" applyFont="1" applyFill="1" applyBorder="1" applyAlignment="1">
      <alignment vertical="center"/>
    </xf>
    <xf numFmtId="0" fontId="0" fillId="0" borderId="26" xfId="0" applyBorder="1"/>
    <xf numFmtId="0" fontId="0" fillId="0" borderId="31" xfId="0" applyBorder="1"/>
  </cellXfs>
  <cellStyles count="5">
    <cellStyle name="Currency" xfId="1" builtinId="4"/>
    <cellStyle name="Good" xfId="2" builtinId="26"/>
    <cellStyle name="Neutral" xfId="4" builtinId="28"/>
    <cellStyle name="Normal" xfId="0" builtinId="0"/>
    <cellStyle name="Per 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175FC-417D-BB4E-BAEA-9CA3A8E0312F}">
  <dimension ref="A1:K45"/>
  <sheetViews>
    <sheetView topLeftCell="A17" zoomScale="131" zoomScaleNormal="163" workbookViewId="0">
      <selection activeCell="H3" sqref="H3:K12"/>
    </sheetView>
  </sheetViews>
  <sheetFormatPr baseColWidth="10" defaultRowHeight="16" x14ac:dyDescent="0.2"/>
  <cols>
    <col min="1" max="1" width="17.83203125" customWidth="1"/>
    <col min="2" max="2" width="20.1640625" customWidth="1"/>
    <col min="3" max="3" width="18.6640625" customWidth="1"/>
    <col min="4" max="4" width="20.5" customWidth="1"/>
    <col min="8" max="8" width="18" customWidth="1"/>
    <col min="9" max="9" width="14.1640625" style="15" customWidth="1"/>
    <col min="10" max="10" width="18" customWidth="1"/>
    <col min="11" max="11" width="14.1640625" style="15" customWidth="1"/>
  </cols>
  <sheetData>
    <row r="1" spans="1:11" x14ac:dyDescent="0.2">
      <c r="A1" t="s">
        <v>18</v>
      </c>
    </row>
    <row r="3" spans="1:11" x14ac:dyDescent="0.2">
      <c r="A3" s="1" t="s">
        <v>0</v>
      </c>
      <c r="B3" s="2" t="s">
        <v>1</v>
      </c>
      <c r="C3" s="1" t="s">
        <v>2</v>
      </c>
      <c r="D3" s="3" t="s">
        <v>1</v>
      </c>
      <c r="H3" s="237" t="s">
        <v>19</v>
      </c>
      <c r="I3" s="237"/>
      <c r="J3" s="237"/>
      <c r="K3" s="237"/>
    </row>
    <row r="4" spans="1:11" x14ac:dyDescent="0.2">
      <c r="A4" s="4" t="s">
        <v>3</v>
      </c>
      <c r="B4" s="5"/>
      <c r="C4" s="4" t="s">
        <v>4</v>
      </c>
      <c r="D4" s="6"/>
      <c r="H4" s="238" t="s">
        <v>20</v>
      </c>
      <c r="I4" s="238"/>
      <c r="J4" s="239" t="s">
        <v>21</v>
      </c>
      <c r="K4" s="239"/>
    </row>
    <row r="5" spans="1:11" x14ac:dyDescent="0.2">
      <c r="A5" s="7" t="s">
        <v>17</v>
      </c>
      <c r="B5" s="8">
        <v>1000</v>
      </c>
      <c r="C5" s="7" t="s">
        <v>6</v>
      </c>
      <c r="D5" s="9">
        <f>8600+1000</f>
        <v>9600</v>
      </c>
      <c r="H5" s="17" t="s">
        <v>22</v>
      </c>
      <c r="I5" s="18">
        <v>12600</v>
      </c>
      <c r="J5" s="17" t="s">
        <v>15</v>
      </c>
      <c r="K5" s="19">
        <v>500</v>
      </c>
    </row>
    <row r="6" spans="1:11" x14ac:dyDescent="0.2">
      <c r="A6" s="7"/>
      <c r="B6" s="8"/>
      <c r="C6" s="10" t="s">
        <v>7</v>
      </c>
      <c r="D6" s="11">
        <f>B13-D5-D9</f>
        <v>0</v>
      </c>
      <c r="H6" s="17"/>
      <c r="I6" s="19"/>
      <c r="J6" s="17" t="s">
        <v>23</v>
      </c>
      <c r="K6" s="19">
        <v>4500</v>
      </c>
    </row>
    <row r="7" spans="1:11" x14ac:dyDescent="0.2">
      <c r="A7" s="7"/>
      <c r="B7" s="8"/>
      <c r="C7" s="7"/>
      <c r="D7" s="8"/>
      <c r="H7" s="17"/>
      <c r="I7" s="19"/>
      <c r="J7" s="17" t="s">
        <v>24</v>
      </c>
      <c r="K7" s="19">
        <v>4000</v>
      </c>
    </row>
    <row r="8" spans="1:11" x14ac:dyDescent="0.2">
      <c r="A8" s="4" t="s">
        <v>8</v>
      </c>
      <c r="B8" s="5"/>
      <c r="C8" s="4" t="s">
        <v>9</v>
      </c>
      <c r="D8" s="6"/>
      <c r="H8" s="17"/>
      <c r="I8" s="19"/>
      <c r="J8" s="17" t="s">
        <v>25</v>
      </c>
      <c r="K8" s="19">
        <v>195</v>
      </c>
    </row>
    <row r="9" spans="1:11" x14ac:dyDescent="0.2">
      <c r="A9" s="7"/>
      <c r="B9" s="8"/>
      <c r="C9" s="7" t="s">
        <v>10</v>
      </c>
      <c r="D9" s="9">
        <v>4000</v>
      </c>
      <c r="H9" s="17"/>
      <c r="I9" s="19"/>
      <c r="J9" s="17" t="s">
        <v>26</v>
      </c>
      <c r="K9" s="19">
        <v>600</v>
      </c>
    </row>
    <row r="10" spans="1:11" x14ac:dyDescent="0.2">
      <c r="A10" s="7"/>
      <c r="B10" s="8"/>
      <c r="C10" s="4" t="s">
        <v>12</v>
      </c>
      <c r="D10" s="6"/>
      <c r="H10" s="17"/>
      <c r="I10" s="19"/>
      <c r="J10" s="17" t="s">
        <v>28</v>
      </c>
      <c r="K10" s="19">
        <v>1000</v>
      </c>
    </row>
    <row r="11" spans="1:11" x14ac:dyDescent="0.2">
      <c r="A11" s="4" t="s">
        <v>13</v>
      </c>
      <c r="B11" s="5"/>
      <c r="C11" s="7"/>
      <c r="D11" s="9"/>
      <c r="H11" s="17"/>
      <c r="I11" s="19"/>
      <c r="J11" s="17" t="s">
        <v>27</v>
      </c>
      <c r="K11" s="19">
        <v>1000</v>
      </c>
    </row>
    <row r="12" spans="1:11" x14ac:dyDescent="0.2">
      <c r="A12" s="7" t="s">
        <v>14</v>
      </c>
      <c r="B12" s="8">
        <f>8600+4000</f>
        <v>12600</v>
      </c>
      <c r="C12" s="7"/>
      <c r="D12" s="9"/>
      <c r="H12" s="20" t="s">
        <v>16</v>
      </c>
      <c r="I12" s="19">
        <f ca="1">SUM(I5:I12)</f>
        <v>12600</v>
      </c>
      <c r="J12" s="20" t="s">
        <v>16</v>
      </c>
      <c r="K12" s="19">
        <f ca="1">SUM(K5:K12)</f>
        <v>11795</v>
      </c>
    </row>
    <row r="13" spans="1:11" x14ac:dyDescent="0.2">
      <c r="A13" s="12" t="s">
        <v>16</v>
      </c>
      <c r="B13" s="13">
        <f>SUM(B5:B12)</f>
        <v>13600</v>
      </c>
      <c r="C13" s="12" t="s">
        <v>16</v>
      </c>
      <c r="D13" s="14">
        <f>SUM(D5:D12)</f>
        <v>13600</v>
      </c>
    </row>
    <row r="17" spans="1:4" x14ac:dyDescent="0.2">
      <c r="A17" t="s">
        <v>29</v>
      </c>
    </row>
    <row r="19" spans="1:4" x14ac:dyDescent="0.2">
      <c r="A19" s="1" t="s">
        <v>0</v>
      </c>
      <c r="B19" s="2" t="s">
        <v>1</v>
      </c>
      <c r="C19" s="1" t="s">
        <v>2</v>
      </c>
      <c r="D19" s="3" t="s">
        <v>1</v>
      </c>
    </row>
    <row r="20" spans="1:4" x14ac:dyDescent="0.2">
      <c r="A20" s="4" t="s">
        <v>3</v>
      </c>
      <c r="B20" s="5"/>
      <c r="C20" s="4" t="s">
        <v>4</v>
      </c>
      <c r="D20" s="6"/>
    </row>
    <row r="21" spans="1:4" x14ac:dyDescent="0.2">
      <c r="A21" s="7" t="s">
        <v>17</v>
      </c>
      <c r="B21" s="8">
        <v>1000</v>
      </c>
      <c r="C21" s="7" t="s">
        <v>6</v>
      </c>
      <c r="D21" s="9">
        <f>8600+1000</f>
        <v>9600</v>
      </c>
    </row>
    <row r="22" spans="1:4" x14ac:dyDescent="0.2">
      <c r="A22" s="7" t="s">
        <v>24</v>
      </c>
      <c r="B22" s="8">
        <v>4000</v>
      </c>
      <c r="C22" s="10" t="s">
        <v>7</v>
      </c>
      <c r="D22" s="11">
        <f>B29-D21-D25</f>
        <v>-2495</v>
      </c>
    </row>
    <row r="23" spans="1:4" x14ac:dyDescent="0.2">
      <c r="A23" s="7" t="s">
        <v>26</v>
      </c>
      <c r="B23" s="8">
        <v>600</v>
      </c>
      <c r="C23" s="7"/>
      <c r="D23" s="8"/>
    </row>
    <row r="24" spans="1:4" x14ac:dyDescent="0.2">
      <c r="A24" s="4" t="s">
        <v>8</v>
      </c>
      <c r="B24" s="5"/>
      <c r="C24" s="4" t="s">
        <v>9</v>
      </c>
      <c r="D24" s="6"/>
    </row>
    <row r="25" spans="1:4" x14ac:dyDescent="0.2">
      <c r="A25" s="7" t="s">
        <v>30</v>
      </c>
      <c r="B25" s="8">
        <v>3200</v>
      </c>
      <c r="C25" s="7" t="s">
        <v>10</v>
      </c>
      <c r="D25" s="9">
        <f>4000-1000</f>
        <v>3000</v>
      </c>
    </row>
    <row r="26" spans="1:4" x14ac:dyDescent="0.2">
      <c r="A26" s="4" t="s">
        <v>13</v>
      </c>
      <c r="B26" s="5"/>
      <c r="C26" s="4" t="s">
        <v>12</v>
      </c>
      <c r="D26" s="6"/>
    </row>
    <row r="27" spans="1:4" x14ac:dyDescent="0.2">
      <c r="A27" s="7" t="s">
        <v>14</v>
      </c>
      <c r="B27" s="8">
        <f>B12-SUM(K5:K11)</f>
        <v>805</v>
      </c>
      <c r="C27" s="7"/>
      <c r="D27" s="9"/>
    </row>
    <row r="28" spans="1:4" x14ac:dyDescent="0.2">
      <c r="A28" s="7" t="s">
        <v>15</v>
      </c>
      <c r="B28" s="8">
        <v>500</v>
      </c>
      <c r="C28" s="7"/>
      <c r="D28" s="9"/>
    </row>
    <row r="29" spans="1:4" x14ac:dyDescent="0.2">
      <c r="A29" s="12" t="s">
        <v>16</v>
      </c>
      <c r="B29" s="13">
        <f>SUM(B21:B28)</f>
        <v>10105</v>
      </c>
      <c r="C29" s="12" t="s">
        <v>16</v>
      </c>
      <c r="D29" s="14">
        <f>SUM(D21:D27)</f>
        <v>10105</v>
      </c>
    </row>
    <row r="32" spans="1:4" x14ac:dyDescent="0.2">
      <c r="A32" t="s">
        <v>32</v>
      </c>
    </row>
    <row r="34" spans="1:4" x14ac:dyDescent="0.2">
      <c r="A34" s="21" t="s">
        <v>33</v>
      </c>
      <c r="B34" s="22" t="s">
        <v>31</v>
      </c>
      <c r="C34" s="23" t="s">
        <v>34</v>
      </c>
      <c r="D34" s="24" t="s">
        <v>31</v>
      </c>
    </row>
    <row r="35" spans="1:4" x14ac:dyDescent="0.2">
      <c r="A35" s="25" t="s">
        <v>35</v>
      </c>
      <c r="B35" s="26"/>
      <c r="C35" s="27" t="s">
        <v>35</v>
      </c>
      <c r="D35" s="28"/>
    </row>
    <row r="36" spans="1:4" x14ac:dyDescent="0.2">
      <c r="A36" s="29" t="s">
        <v>23</v>
      </c>
      <c r="B36" s="30">
        <v>4500</v>
      </c>
      <c r="C36" s="31" t="s">
        <v>37</v>
      </c>
      <c r="D36" s="32">
        <v>3200</v>
      </c>
    </row>
    <row r="37" spans="1:4" x14ac:dyDescent="0.2">
      <c r="A37" s="29" t="s">
        <v>25</v>
      </c>
      <c r="B37" s="30">
        <v>195</v>
      </c>
      <c r="C37" s="31"/>
      <c r="D37" s="32"/>
    </row>
    <row r="38" spans="1:4" x14ac:dyDescent="0.2">
      <c r="A38" s="29" t="s">
        <v>36</v>
      </c>
      <c r="B38" s="30">
        <v>1000</v>
      </c>
      <c r="C38" s="31"/>
      <c r="D38" s="30"/>
    </row>
    <row r="39" spans="1:4" x14ac:dyDescent="0.2">
      <c r="A39" s="25" t="s">
        <v>38</v>
      </c>
      <c r="B39" s="26"/>
      <c r="C39" s="25" t="s">
        <v>38</v>
      </c>
      <c r="D39" s="28"/>
    </row>
    <row r="40" spans="1:4" x14ac:dyDescent="0.2">
      <c r="A40" s="29"/>
      <c r="B40" s="30"/>
      <c r="C40" s="31"/>
      <c r="D40" s="32"/>
    </row>
    <row r="41" spans="1:4" x14ac:dyDescent="0.2">
      <c r="A41" s="25" t="s">
        <v>39</v>
      </c>
      <c r="B41" s="26"/>
      <c r="C41" s="25" t="s">
        <v>39</v>
      </c>
      <c r="D41" s="28"/>
    </row>
    <row r="42" spans="1:4" x14ac:dyDescent="0.2">
      <c r="A42" s="29"/>
      <c r="B42" s="30"/>
      <c r="C42" s="31"/>
      <c r="D42" s="32"/>
    </row>
    <row r="43" spans="1:4" x14ac:dyDescent="0.2">
      <c r="A43" s="29"/>
      <c r="B43" s="30"/>
      <c r="C43" s="31"/>
      <c r="D43" s="32"/>
    </row>
    <row r="44" spans="1:4" x14ac:dyDescent="0.2">
      <c r="A44" s="35" t="s">
        <v>40</v>
      </c>
      <c r="B44" s="36">
        <f>SUM(B36:B43)</f>
        <v>5695</v>
      </c>
      <c r="C44" s="37" t="s">
        <v>41</v>
      </c>
      <c r="D44" s="38">
        <f>SUM(D36:D43)</f>
        <v>3200</v>
      </c>
    </row>
    <row r="45" spans="1:4" x14ac:dyDescent="0.2">
      <c r="A45" s="10" t="s">
        <v>42</v>
      </c>
      <c r="B45" s="11"/>
      <c r="C45" s="10" t="s">
        <v>7</v>
      </c>
      <c r="D45" s="11">
        <f>D44-B44</f>
        <v>-2495</v>
      </c>
    </row>
  </sheetData>
  <mergeCells count="3">
    <mergeCell ref="H3:K3"/>
    <mergeCell ref="H4:I4"/>
    <mergeCell ref="J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CBFD6-EE67-CB48-8A82-0B12520ECF00}">
  <dimension ref="A1:D16"/>
  <sheetViews>
    <sheetView zoomScale="133" workbookViewId="0">
      <selection activeCell="H9" sqref="H9"/>
    </sheetView>
  </sheetViews>
  <sheetFormatPr baseColWidth="10" defaultRowHeight="16" x14ac:dyDescent="0.2"/>
  <cols>
    <col min="1" max="1" width="17.83203125" customWidth="1"/>
    <col min="2" max="2" width="16.5" customWidth="1"/>
    <col min="3" max="3" width="18.83203125" customWidth="1"/>
    <col min="4" max="4" width="16" customWidth="1"/>
  </cols>
  <sheetData>
    <row r="1" spans="1:4" x14ac:dyDescent="0.2">
      <c r="A1" t="s">
        <v>43</v>
      </c>
    </row>
    <row r="3" spans="1:4" x14ac:dyDescent="0.2">
      <c r="A3" s="21" t="s">
        <v>0</v>
      </c>
      <c r="B3" s="22" t="s">
        <v>31</v>
      </c>
      <c r="C3" s="23" t="s">
        <v>2</v>
      </c>
      <c r="D3" s="24" t="s">
        <v>31</v>
      </c>
    </row>
    <row r="4" spans="1:4" x14ac:dyDescent="0.2">
      <c r="A4" s="25" t="s">
        <v>3</v>
      </c>
      <c r="B4" s="26"/>
      <c r="C4" s="27" t="s">
        <v>4</v>
      </c>
      <c r="D4" s="28"/>
    </row>
    <row r="5" spans="1:4" x14ac:dyDescent="0.2">
      <c r="A5" s="29" t="s">
        <v>5</v>
      </c>
      <c r="B5" s="30">
        <v>50000</v>
      </c>
      <c r="C5" s="31" t="s">
        <v>6</v>
      </c>
      <c r="D5" s="32">
        <v>150000</v>
      </c>
    </row>
    <row r="6" spans="1:4" x14ac:dyDescent="0.2">
      <c r="A6" s="29" t="s">
        <v>26</v>
      </c>
      <c r="B6" s="30">
        <v>20000</v>
      </c>
      <c r="C6" s="33" t="s">
        <v>46</v>
      </c>
      <c r="D6" s="34">
        <v>90000</v>
      </c>
    </row>
    <row r="7" spans="1:4" x14ac:dyDescent="0.2">
      <c r="A7" s="29" t="s">
        <v>44</v>
      </c>
      <c r="B7" s="30">
        <v>200000</v>
      </c>
      <c r="C7" s="31"/>
      <c r="D7" s="30"/>
    </row>
    <row r="8" spans="1:4" x14ac:dyDescent="0.2">
      <c r="A8" s="29" t="s">
        <v>45</v>
      </c>
      <c r="B8" s="30">
        <v>160000</v>
      </c>
      <c r="C8" s="31"/>
      <c r="D8" s="30"/>
    </row>
    <row r="9" spans="1:4" x14ac:dyDescent="0.2">
      <c r="A9" s="29" t="s">
        <v>47</v>
      </c>
      <c r="B9" s="30">
        <v>7000</v>
      </c>
      <c r="C9" s="31"/>
      <c r="D9" s="30"/>
    </row>
    <row r="10" spans="1:4" x14ac:dyDescent="0.2">
      <c r="A10" s="25" t="s">
        <v>8</v>
      </c>
      <c r="B10" s="26"/>
      <c r="C10" s="27" t="s">
        <v>9</v>
      </c>
      <c r="D10" s="28"/>
    </row>
    <row r="11" spans="1:4" x14ac:dyDescent="0.2">
      <c r="A11" s="29" t="s">
        <v>11</v>
      </c>
      <c r="B11" s="30">
        <v>30000</v>
      </c>
      <c r="C11" s="31" t="s">
        <v>10</v>
      </c>
      <c r="D11" s="32">
        <v>50000</v>
      </c>
    </row>
    <row r="12" spans="1:4" x14ac:dyDescent="0.2">
      <c r="A12" s="29" t="s">
        <v>48</v>
      </c>
      <c r="B12" s="30">
        <v>20000</v>
      </c>
      <c r="C12" s="27" t="s">
        <v>12</v>
      </c>
      <c r="D12" s="28"/>
    </row>
    <row r="13" spans="1:4" x14ac:dyDescent="0.2">
      <c r="A13" s="25" t="s">
        <v>13</v>
      </c>
      <c r="B13" s="26"/>
      <c r="C13" s="31" t="s">
        <v>49</v>
      </c>
      <c r="D13" s="32">
        <v>80000</v>
      </c>
    </row>
    <row r="14" spans="1:4" x14ac:dyDescent="0.2">
      <c r="A14" s="29"/>
      <c r="B14" s="30"/>
      <c r="C14" s="31" t="s">
        <v>50</v>
      </c>
      <c r="D14" s="32">
        <v>20000</v>
      </c>
    </row>
    <row r="15" spans="1:4" x14ac:dyDescent="0.2">
      <c r="A15" s="29"/>
      <c r="B15" s="30"/>
      <c r="C15" s="39" t="s">
        <v>51</v>
      </c>
      <c r="D15" s="40">
        <f>B16-SUM(D5:D14)</f>
        <v>97000</v>
      </c>
    </row>
    <row r="16" spans="1:4" x14ac:dyDescent="0.2">
      <c r="A16" s="35" t="s">
        <v>16</v>
      </c>
      <c r="B16" s="36">
        <f>SUM(B5:B14)</f>
        <v>487000</v>
      </c>
      <c r="C16" s="37" t="s">
        <v>16</v>
      </c>
      <c r="D16" s="38">
        <f>SUM(D5:D15)</f>
        <v>487000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E2924-1C54-E44F-AA49-F23286D7A108}">
  <dimension ref="A1:H14"/>
  <sheetViews>
    <sheetView workbookViewId="0">
      <selection activeCell="F34" sqref="F34"/>
    </sheetView>
  </sheetViews>
  <sheetFormatPr baseColWidth="10" defaultRowHeight="16" x14ac:dyDescent="0.2"/>
  <cols>
    <col min="1" max="1" width="21.1640625" customWidth="1"/>
    <col min="2" max="2" width="17.33203125" customWidth="1"/>
    <col min="3" max="3" width="18.5" customWidth="1"/>
    <col min="4" max="4" width="16" customWidth="1"/>
    <col min="8" max="8" width="44.83203125" customWidth="1"/>
  </cols>
  <sheetData>
    <row r="1" spans="1:8" x14ac:dyDescent="0.2">
      <c r="A1" t="s">
        <v>88</v>
      </c>
    </row>
    <row r="3" spans="1:8" x14ac:dyDescent="0.2">
      <c r="A3" s="1" t="s">
        <v>0</v>
      </c>
      <c r="B3" s="2" t="s">
        <v>1</v>
      </c>
      <c r="C3" s="1" t="s">
        <v>2</v>
      </c>
      <c r="D3" s="3" t="s">
        <v>1</v>
      </c>
    </row>
    <row r="4" spans="1:8" x14ac:dyDescent="0.2">
      <c r="A4" s="4" t="s">
        <v>3</v>
      </c>
      <c r="B4" s="5"/>
      <c r="C4" s="4" t="s">
        <v>4</v>
      </c>
      <c r="D4" s="6"/>
    </row>
    <row r="5" spans="1:8" ht="17" x14ac:dyDescent="0.2">
      <c r="A5" s="7" t="s">
        <v>77</v>
      </c>
      <c r="B5" s="8">
        <v>15000</v>
      </c>
      <c r="C5" s="7" t="s">
        <v>6</v>
      </c>
      <c r="D5" s="9">
        <f>B14-SUM(D9:D12)</f>
        <v>320700</v>
      </c>
      <c r="H5" s="46" t="s">
        <v>73</v>
      </c>
    </row>
    <row r="6" spans="1:8" ht="17" x14ac:dyDescent="0.2">
      <c r="A6" s="7" t="s">
        <v>76</v>
      </c>
      <c r="B6" s="8">
        <v>5700</v>
      </c>
      <c r="C6" s="10"/>
      <c r="D6" s="11"/>
      <c r="H6" s="46" t="s">
        <v>63</v>
      </c>
    </row>
    <row r="7" spans="1:8" ht="17" x14ac:dyDescent="0.2">
      <c r="A7" s="7" t="s">
        <v>45</v>
      </c>
      <c r="B7" s="8">
        <v>170000</v>
      </c>
      <c r="C7" s="7"/>
      <c r="D7" s="8"/>
      <c r="H7" s="46" t="s">
        <v>64</v>
      </c>
    </row>
    <row r="8" spans="1:8" ht="17" x14ac:dyDescent="0.2">
      <c r="A8" s="4" t="s">
        <v>8</v>
      </c>
      <c r="B8" s="5"/>
      <c r="C8" s="4" t="s">
        <v>9</v>
      </c>
      <c r="D8" s="6"/>
      <c r="H8" s="46" t="s">
        <v>65</v>
      </c>
    </row>
    <row r="9" spans="1:8" ht="17" x14ac:dyDescent="0.2">
      <c r="A9" s="7" t="s">
        <v>11</v>
      </c>
      <c r="B9" s="8">
        <v>32000</v>
      </c>
      <c r="C9" s="7" t="s">
        <v>75</v>
      </c>
      <c r="D9" s="9">
        <v>19000</v>
      </c>
      <c r="H9" s="46" t="s">
        <v>66</v>
      </c>
    </row>
    <row r="10" spans="1:8" ht="17" x14ac:dyDescent="0.2">
      <c r="A10" s="7" t="s">
        <v>72</v>
      </c>
      <c r="B10" s="8">
        <v>130000</v>
      </c>
      <c r="C10" s="7" t="s">
        <v>78</v>
      </c>
      <c r="D10" s="9">
        <v>27000</v>
      </c>
      <c r="H10" s="46" t="s">
        <v>67</v>
      </c>
    </row>
    <row r="11" spans="1:8" ht="17" x14ac:dyDescent="0.2">
      <c r="A11" s="7" t="s">
        <v>50</v>
      </c>
      <c r="B11" s="8">
        <v>32000</v>
      </c>
      <c r="C11" s="4" t="s">
        <v>12</v>
      </c>
      <c r="D11" s="6"/>
      <c r="H11" s="46" t="s">
        <v>68</v>
      </c>
    </row>
    <row r="12" spans="1:8" ht="17" x14ac:dyDescent="0.2">
      <c r="A12" s="4" t="s">
        <v>13</v>
      </c>
      <c r="B12" s="5"/>
      <c r="C12" s="7" t="s">
        <v>74</v>
      </c>
      <c r="D12" s="9">
        <v>25000</v>
      </c>
      <c r="H12" s="46" t="s">
        <v>69</v>
      </c>
    </row>
    <row r="13" spans="1:8" ht="17" x14ac:dyDescent="0.2">
      <c r="A13" s="7" t="s">
        <v>14</v>
      </c>
      <c r="B13" s="8">
        <v>7000</v>
      </c>
      <c r="C13" s="7"/>
      <c r="D13" s="9"/>
      <c r="H13" s="46" t="s">
        <v>70</v>
      </c>
    </row>
    <row r="14" spans="1:8" ht="17" x14ac:dyDescent="0.2">
      <c r="A14" s="12" t="s">
        <v>16</v>
      </c>
      <c r="B14" s="13">
        <f>SUM(B5:B13)</f>
        <v>391700</v>
      </c>
      <c r="C14" s="12" t="s">
        <v>16</v>
      </c>
      <c r="D14" s="14">
        <f>SUM(D5:D13)</f>
        <v>391700</v>
      </c>
      <c r="H14" s="46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0E20F-9A4F-E444-91C6-9BBA9BA45368}">
  <dimension ref="A1:H31"/>
  <sheetViews>
    <sheetView workbookViewId="0">
      <selection activeCell="D19" sqref="D19"/>
    </sheetView>
  </sheetViews>
  <sheetFormatPr baseColWidth="10" defaultRowHeight="16" x14ac:dyDescent="0.2"/>
  <cols>
    <col min="1" max="1" width="20.83203125" customWidth="1"/>
    <col min="2" max="2" width="17.83203125" customWidth="1"/>
    <col min="3" max="3" width="20.83203125" customWidth="1"/>
    <col min="4" max="4" width="17.83203125" customWidth="1"/>
    <col min="8" max="8" width="50" customWidth="1"/>
  </cols>
  <sheetData>
    <row r="1" spans="1:4" x14ac:dyDescent="0.2">
      <c r="A1" s="48" t="s">
        <v>32</v>
      </c>
      <c r="B1" s="48"/>
      <c r="C1" s="48"/>
      <c r="D1" s="48"/>
    </row>
    <row r="2" spans="1:4" x14ac:dyDescent="0.2">
      <c r="A2" s="48"/>
      <c r="B2" s="48"/>
      <c r="C2" s="48"/>
      <c r="D2" s="48"/>
    </row>
    <row r="3" spans="1:4" x14ac:dyDescent="0.2">
      <c r="A3" s="21" t="s">
        <v>33</v>
      </c>
      <c r="B3" s="22" t="s">
        <v>89</v>
      </c>
      <c r="C3" s="23" t="s">
        <v>34</v>
      </c>
      <c r="D3" s="24" t="s">
        <v>89</v>
      </c>
    </row>
    <row r="4" spans="1:4" x14ac:dyDescent="0.2">
      <c r="A4" s="25" t="s">
        <v>35</v>
      </c>
      <c r="B4" s="26"/>
      <c r="C4" s="27" t="s">
        <v>35</v>
      </c>
      <c r="D4" s="28"/>
    </row>
    <row r="5" spans="1:4" x14ac:dyDescent="0.2">
      <c r="A5" s="29" t="s">
        <v>90</v>
      </c>
      <c r="B5" s="30">
        <v>7380</v>
      </c>
      <c r="C5" s="31" t="s">
        <v>92</v>
      </c>
      <c r="D5" s="32">
        <v>290380</v>
      </c>
    </row>
    <row r="6" spans="1:4" x14ac:dyDescent="0.2">
      <c r="A6" s="29" t="s">
        <v>97</v>
      </c>
      <c r="B6" s="30">
        <v>58770</v>
      </c>
      <c r="C6" s="31" t="s">
        <v>93</v>
      </c>
      <c r="D6" s="32">
        <v>79890</v>
      </c>
    </row>
    <row r="7" spans="1:4" x14ac:dyDescent="0.2">
      <c r="A7" s="29" t="s">
        <v>98</v>
      </c>
      <c r="B7" s="30">
        <v>12200</v>
      </c>
      <c r="C7" s="31"/>
      <c r="D7" s="30"/>
    </row>
    <row r="8" spans="1:4" x14ac:dyDescent="0.2">
      <c r="A8" s="50" t="s">
        <v>138</v>
      </c>
      <c r="B8" s="51">
        <f>B13-SUM(B5:B7)-B10-B12</f>
        <v>284650</v>
      </c>
      <c r="C8" s="31"/>
      <c r="D8" s="30"/>
    </row>
    <row r="9" spans="1:4" x14ac:dyDescent="0.2">
      <c r="A9" s="25" t="s">
        <v>38</v>
      </c>
      <c r="B9" s="26"/>
      <c r="C9" s="27" t="s">
        <v>38</v>
      </c>
      <c r="D9" s="28"/>
    </row>
    <row r="10" spans="1:4" x14ac:dyDescent="0.2">
      <c r="A10" s="29" t="s">
        <v>94</v>
      </c>
      <c r="B10" s="30">
        <f>28500+9090</f>
        <v>37590</v>
      </c>
      <c r="C10" s="31"/>
      <c r="D10" s="32"/>
    </row>
    <row r="11" spans="1:4" x14ac:dyDescent="0.2">
      <c r="A11" s="25" t="s">
        <v>39</v>
      </c>
      <c r="B11" s="26"/>
      <c r="C11" s="27" t="s">
        <v>39</v>
      </c>
      <c r="D11" s="28"/>
    </row>
    <row r="12" spans="1:4" x14ac:dyDescent="0.2">
      <c r="A12" s="29" t="s">
        <v>96</v>
      </c>
      <c r="B12" s="30">
        <v>28770</v>
      </c>
      <c r="C12" s="31" t="s">
        <v>95</v>
      </c>
      <c r="D12" s="30">
        <v>32000</v>
      </c>
    </row>
    <row r="13" spans="1:4" x14ac:dyDescent="0.2">
      <c r="A13" s="35" t="s">
        <v>40</v>
      </c>
      <c r="B13" s="36">
        <f>D13+D14</f>
        <v>429360</v>
      </c>
      <c r="C13" s="37" t="s">
        <v>41</v>
      </c>
      <c r="D13" s="38">
        <f>SUM(D5:D12)</f>
        <v>402270</v>
      </c>
    </row>
    <row r="14" spans="1:4" x14ac:dyDescent="0.2">
      <c r="A14" s="49" t="s">
        <v>42</v>
      </c>
      <c r="B14" s="34"/>
      <c r="C14" s="33" t="s">
        <v>7</v>
      </c>
      <c r="D14" s="34">
        <v>27090</v>
      </c>
    </row>
    <row r="17" spans="3:8" x14ac:dyDescent="0.2">
      <c r="C17" s="52"/>
    </row>
    <row r="18" spans="3:8" x14ac:dyDescent="0.2">
      <c r="H18" s="47"/>
    </row>
    <row r="21" spans="3:8" ht="17" x14ac:dyDescent="0.2">
      <c r="H21" s="46" t="s">
        <v>79</v>
      </c>
    </row>
    <row r="22" spans="3:8" ht="17" x14ac:dyDescent="0.2">
      <c r="H22" s="46" t="s">
        <v>80</v>
      </c>
    </row>
    <row r="23" spans="3:8" ht="17" x14ac:dyDescent="0.2">
      <c r="H23" s="46" t="s">
        <v>91</v>
      </c>
    </row>
    <row r="24" spans="3:8" ht="17" x14ac:dyDescent="0.2">
      <c r="H24" s="46" t="s">
        <v>81</v>
      </c>
    </row>
    <row r="25" spans="3:8" ht="17" x14ac:dyDescent="0.2">
      <c r="H25" s="46" t="s">
        <v>82</v>
      </c>
    </row>
    <row r="26" spans="3:8" ht="17" x14ac:dyDescent="0.2">
      <c r="H26" s="46" t="s">
        <v>83</v>
      </c>
    </row>
    <row r="27" spans="3:8" ht="17" x14ac:dyDescent="0.2">
      <c r="H27" s="46" t="s">
        <v>84</v>
      </c>
    </row>
    <row r="28" spans="3:8" ht="17" x14ac:dyDescent="0.2">
      <c r="H28" s="46" t="s">
        <v>85</v>
      </c>
    </row>
    <row r="29" spans="3:8" ht="17" x14ac:dyDescent="0.2">
      <c r="H29" s="46" t="s">
        <v>137</v>
      </c>
    </row>
    <row r="30" spans="3:8" ht="17" x14ac:dyDescent="0.2">
      <c r="H30" s="45" t="s">
        <v>86</v>
      </c>
    </row>
    <row r="31" spans="3:8" ht="17" x14ac:dyDescent="0.2">
      <c r="H31" s="45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F8B13-6114-C841-90F8-D6E2ABA72F96}">
  <dimension ref="A1:H26"/>
  <sheetViews>
    <sheetView zoomScale="137" workbookViewId="0">
      <selection activeCell="E20" sqref="E20"/>
    </sheetView>
  </sheetViews>
  <sheetFormatPr baseColWidth="10" defaultRowHeight="16" x14ac:dyDescent="0.2"/>
  <cols>
    <col min="1" max="1" width="21.83203125" customWidth="1"/>
    <col min="2" max="2" width="17.83203125" customWidth="1"/>
    <col min="3" max="3" width="21.83203125" customWidth="1"/>
    <col min="4" max="4" width="17.83203125" customWidth="1"/>
    <col min="8" max="8" width="59" customWidth="1"/>
  </cols>
  <sheetData>
    <row r="1" spans="1:8" x14ac:dyDescent="0.2">
      <c r="A1" t="s">
        <v>100</v>
      </c>
    </row>
    <row r="3" spans="1:8" x14ac:dyDescent="0.2">
      <c r="A3" s="1" t="s">
        <v>0</v>
      </c>
      <c r="B3" s="2" t="s">
        <v>1</v>
      </c>
      <c r="C3" s="1" t="s">
        <v>2</v>
      </c>
      <c r="D3" s="3" t="s">
        <v>1</v>
      </c>
    </row>
    <row r="4" spans="1:8" x14ac:dyDescent="0.2">
      <c r="A4" s="4" t="s">
        <v>3</v>
      </c>
      <c r="B4" s="5"/>
      <c r="C4" s="4" t="s">
        <v>4</v>
      </c>
      <c r="D4" s="6"/>
    </row>
    <row r="5" spans="1:8" x14ac:dyDescent="0.2">
      <c r="A5" s="7" t="s">
        <v>104</v>
      </c>
      <c r="B5" s="8">
        <v>50000</v>
      </c>
      <c r="C5" s="7" t="s">
        <v>6</v>
      </c>
      <c r="D5" s="9">
        <v>150000</v>
      </c>
    </row>
    <row r="6" spans="1:8" x14ac:dyDescent="0.2">
      <c r="A6" s="7" t="s">
        <v>45</v>
      </c>
      <c r="B6" s="8">
        <v>160000</v>
      </c>
      <c r="C6" s="10" t="s">
        <v>46</v>
      </c>
      <c r="D6" s="11">
        <v>150000</v>
      </c>
    </row>
    <row r="7" spans="1:8" x14ac:dyDescent="0.2">
      <c r="A7" s="7" t="s">
        <v>111</v>
      </c>
      <c r="B7" s="8">
        <v>7000</v>
      </c>
      <c r="C7" s="7"/>
      <c r="D7" s="8"/>
    </row>
    <row r="8" spans="1:8" x14ac:dyDescent="0.2">
      <c r="A8" s="7" t="s">
        <v>44</v>
      </c>
      <c r="B8" s="8">
        <v>200000</v>
      </c>
      <c r="C8" s="7"/>
      <c r="D8" s="8"/>
    </row>
    <row r="9" spans="1:8" x14ac:dyDescent="0.2">
      <c r="A9" s="7" t="s">
        <v>50</v>
      </c>
      <c r="B9" s="8">
        <v>20000</v>
      </c>
      <c r="C9" s="4" t="s">
        <v>9</v>
      </c>
      <c r="D9" s="6"/>
    </row>
    <row r="10" spans="1:8" x14ac:dyDescent="0.2">
      <c r="A10" s="4" t="s">
        <v>8</v>
      </c>
      <c r="B10" s="5"/>
      <c r="C10" s="7" t="s">
        <v>10</v>
      </c>
      <c r="D10" s="9">
        <v>50000</v>
      </c>
    </row>
    <row r="11" spans="1:8" x14ac:dyDescent="0.2">
      <c r="A11" s="7" t="s">
        <v>72</v>
      </c>
      <c r="B11" s="8">
        <v>20000</v>
      </c>
      <c r="C11" s="4" t="s">
        <v>12</v>
      </c>
      <c r="D11" s="6"/>
    </row>
    <row r="12" spans="1:8" x14ac:dyDescent="0.2">
      <c r="A12" s="53" t="s">
        <v>30</v>
      </c>
      <c r="B12" s="54">
        <f>D14-SUM(B5:B11)</f>
        <v>3000</v>
      </c>
      <c r="C12" s="7" t="s">
        <v>74</v>
      </c>
      <c r="D12" s="9">
        <v>30000</v>
      </c>
    </row>
    <row r="13" spans="1:8" x14ac:dyDescent="0.2">
      <c r="A13" s="4" t="s">
        <v>13</v>
      </c>
      <c r="B13" s="5"/>
      <c r="C13" s="7" t="s">
        <v>49</v>
      </c>
      <c r="D13" s="8">
        <v>80000</v>
      </c>
    </row>
    <row r="14" spans="1:8" x14ac:dyDescent="0.2">
      <c r="A14" s="12" t="s">
        <v>16</v>
      </c>
      <c r="B14" s="13">
        <f>SUM(B5:B13)</f>
        <v>460000</v>
      </c>
      <c r="C14" s="12" t="s">
        <v>16</v>
      </c>
      <c r="D14" s="14">
        <f>SUM(D5:D13)</f>
        <v>460000</v>
      </c>
    </row>
    <row r="15" spans="1:8" ht="17" x14ac:dyDescent="0.2">
      <c r="H15" s="46" t="s">
        <v>110</v>
      </c>
    </row>
    <row r="16" spans="1:8" ht="17" x14ac:dyDescent="0.2">
      <c r="H16" s="46" t="s">
        <v>113</v>
      </c>
    </row>
    <row r="17" spans="2:8" ht="17" x14ac:dyDescent="0.2">
      <c r="H17" s="46" t="s">
        <v>101</v>
      </c>
    </row>
    <row r="18" spans="2:8" ht="17" x14ac:dyDescent="0.2">
      <c r="B18" s="52"/>
      <c r="H18" s="46" t="s">
        <v>112</v>
      </c>
    </row>
    <row r="19" spans="2:8" ht="17" x14ac:dyDescent="0.2">
      <c r="H19" s="46" t="s">
        <v>109</v>
      </c>
    </row>
    <row r="20" spans="2:8" ht="17" x14ac:dyDescent="0.2">
      <c r="H20" s="46" t="s">
        <v>102</v>
      </c>
    </row>
    <row r="21" spans="2:8" ht="17" x14ac:dyDescent="0.2">
      <c r="H21" s="45" t="s">
        <v>99</v>
      </c>
    </row>
    <row r="22" spans="2:8" ht="17" x14ac:dyDescent="0.2">
      <c r="H22" s="46" t="s">
        <v>103</v>
      </c>
    </row>
    <row r="23" spans="2:8" ht="17" x14ac:dyDescent="0.2">
      <c r="H23" s="46" t="s">
        <v>108</v>
      </c>
    </row>
    <row r="24" spans="2:8" ht="17" x14ac:dyDescent="0.2">
      <c r="H24" s="46" t="s">
        <v>105</v>
      </c>
    </row>
    <row r="25" spans="2:8" ht="17" x14ac:dyDescent="0.2">
      <c r="H25" s="46" t="s">
        <v>106</v>
      </c>
    </row>
    <row r="26" spans="2:8" ht="17" x14ac:dyDescent="0.2">
      <c r="H26" s="46" t="s">
        <v>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4D444-D315-264A-AA1B-5F85A8FF222C}">
  <dimension ref="A1:J50"/>
  <sheetViews>
    <sheetView topLeftCell="A5" zoomScale="131" workbookViewId="0">
      <selection activeCell="B16" sqref="B16"/>
    </sheetView>
  </sheetViews>
  <sheetFormatPr baseColWidth="10" defaultRowHeight="16" x14ac:dyDescent="0.2"/>
  <cols>
    <col min="1" max="1" width="19.33203125" bestFit="1" customWidth="1"/>
    <col min="2" max="2" width="13" bestFit="1" customWidth="1"/>
    <col min="3" max="3" width="17.1640625" bestFit="1" customWidth="1"/>
    <col min="4" max="4" width="13" bestFit="1" customWidth="1"/>
    <col min="7" max="7" width="17.83203125" customWidth="1"/>
    <col min="8" max="8" width="12.83203125" customWidth="1"/>
    <col min="9" max="9" width="17.83203125" customWidth="1"/>
    <col min="10" max="10" width="12.83203125" customWidth="1"/>
    <col min="11" max="11" width="12" bestFit="1" customWidth="1"/>
  </cols>
  <sheetData>
    <row r="1" spans="1:10" x14ac:dyDescent="0.2">
      <c r="A1" t="s">
        <v>148</v>
      </c>
    </row>
    <row r="3" spans="1:10" x14ac:dyDescent="0.2">
      <c r="A3" s="1" t="s">
        <v>0</v>
      </c>
      <c r="B3" s="2" t="s">
        <v>1</v>
      </c>
      <c r="C3" s="1" t="s">
        <v>2</v>
      </c>
      <c r="D3" s="3" t="s">
        <v>1</v>
      </c>
      <c r="G3" s="237" t="s">
        <v>19</v>
      </c>
      <c r="H3" s="237"/>
      <c r="I3" s="237"/>
      <c r="J3" s="237"/>
    </row>
    <row r="4" spans="1:10" x14ac:dyDescent="0.2">
      <c r="A4" s="4" t="s">
        <v>3</v>
      </c>
      <c r="B4" s="5"/>
      <c r="C4" s="4" t="s">
        <v>4</v>
      </c>
      <c r="D4" s="6"/>
      <c r="G4" s="238" t="s">
        <v>20</v>
      </c>
      <c r="H4" s="238"/>
      <c r="I4" s="239" t="s">
        <v>21</v>
      </c>
      <c r="J4" s="239"/>
    </row>
    <row r="5" spans="1:10" x14ac:dyDescent="0.2">
      <c r="A5" s="7" t="s">
        <v>146</v>
      </c>
      <c r="B5" s="8">
        <v>90000</v>
      </c>
      <c r="C5" s="7" t="s">
        <v>6</v>
      </c>
      <c r="D5" s="9">
        <f>3*20000</f>
        <v>60000</v>
      </c>
      <c r="G5" s="17" t="s">
        <v>14</v>
      </c>
      <c r="H5" s="18">
        <v>75000</v>
      </c>
      <c r="I5" s="17" t="s">
        <v>149</v>
      </c>
      <c r="J5" s="19">
        <v>21000</v>
      </c>
    </row>
    <row r="6" spans="1:10" x14ac:dyDescent="0.2">
      <c r="A6" s="7"/>
      <c r="B6" s="8"/>
      <c r="C6" s="7" t="s">
        <v>147</v>
      </c>
      <c r="D6" s="9">
        <v>90000</v>
      </c>
      <c r="G6" s="17" t="s">
        <v>37</v>
      </c>
      <c r="H6" s="19">
        <v>152000</v>
      </c>
      <c r="I6" s="17" t="s">
        <v>150</v>
      </c>
      <c r="J6" s="19">
        <v>77000</v>
      </c>
    </row>
    <row r="7" spans="1:10" x14ac:dyDescent="0.2">
      <c r="A7" s="4" t="s">
        <v>8</v>
      </c>
      <c r="B7" s="5"/>
      <c r="C7" s="4" t="s">
        <v>9</v>
      </c>
      <c r="D7" s="6"/>
      <c r="G7" s="17" t="s">
        <v>156</v>
      </c>
      <c r="H7" s="19">
        <f>86000*4/5</f>
        <v>68800</v>
      </c>
      <c r="I7" s="17" t="s">
        <v>151</v>
      </c>
      <c r="J7" s="19">
        <v>13200</v>
      </c>
    </row>
    <row r="8" spans="1:10" x14ac:dyDescent="0.2">
      <c r="A8" s="7"/>
      <c r="B8" s="8"/>
      <c r="C8" s="7" t="s">
        <v>10</v>
      </c>
      <c r="D8" s="9">
        <f>15000</f>
        <v>15000</v>
      </c>
      <c r="G8" s="17"/>
      <c r="H8" s="19"/>
      <c r="I8" s="17" t="s">
        <v>152</v>
      </c>
      <c r="J8" s="19">
        <f>18000*11/12</f>
        <v>16500</v>
      </c>
    </row>
    <row r="9" spans="1:10" x14ac:dyDescent="0.2">
      <c r="A9" s="4" t="s">
        <v>13</v>
      </c>
      <c r="B9" s="5"/>
      <c r="C9" s="4" t="s">
        <v>12</v>
      </c>
      <c r="D9" s="6"/>
      <c r="G9" s="17"/>
      <c r="H9" s="19"/>
      <c r="I9" s="17" t="s">
        <v>153</v>
      </c>
      <c r="J9" s="19">
        <v>15500</v>
      </c>
    </row>
    <row r="10" spans="1:10" x14ac:dyDescent="0.2">
      <c r="A10" s="7" t="s">
        <v>14</v>
      </c>
      <c r="B10" s="8">
        <f>15000+60000</f>
        <v>75000</v>
      </c>
      <c r="C10" s="7"/>
      <c r="D10" s="8"/>
      <c r="G10" s="17"/>
      <c r="H10" s="19"/>
      <c r="I10" s="17" t="s">
        <v>154</v>
      </c>
      <c r="J10" s="19">
        <v>11800</v>
      </c>
    </row>
    <row r="11" spans="1:10" x14ac:dyDescent="0.2">
      <c r="A11" s="12" t="s">
        <v>16</v>
      </c>
      <c r="B11" s="13">
        <f>SUM(B5:B10)</f>
        <v>165000</v>
      </c>
      <c r="C11" s="12" t="s">
        <v>16</v>
      </c>
      <c r="D11" s="14">
        <f>SUM(D5:D10)</f>
        <v>165000</v>
      </c>
      <c r="G11" s="17"/>
      <c r="H11" s="19"/>
      <c r="I11" s="17" t="s">
        <v>155</v>
      </c>
      <c r="J11" s="19">
        <f>138000*11/12</f>
        <v>126500</v>
      </c>
    </row>
    <row r="12" spans="1:10" x14ac:dyDescent="0.2">
      <c r="G12" s="17"/>
      <c r="H12" s="19"/>
      <c r="I12" s="17" t="s">
        <v>158</v>
      </c>
      <c r="J12" s="19">
        <v>4575</v>
      </c>
    </row>
    <row r="13" spans="1:10" x14ac:dyDescent="0.2">
      <c r="G13" s="20" t="s">
        <v>16</v>
      </c>
      <c r="H13" s="19">
        <f>SUM(H5:H11)</f>
        <v>295800</v>
      </c>
      <c r="I13" s="20" t="s">
        <v>16</v>
      </c>
      <c r="J13" s="19">
        <f>SUM(J5:J12)</f>
        <v>286075</v>
      </c>
    </row>
    <row r="14" spans="1:10" x14ac:dyDescent="0.2">
      <c r="I14" t="s">
        <v>159</v>
      </c>
      <c r="J14" s="52">
        <f>H13-J13</f>
        <v>9725</v>
      </c>
    </row>
    <row r="17" spans="1:6" x14ac:dyDescent="0.2">
      <c r="A17" t="s">
        <v>157</v>
      </c>
    </row>
    <row r="19" spans="1:6" x14ac:dyDescent="0.2">
      <c r="A19" s="1" t="s">
        <v>0</v>
      </c>
      <c r="B19" s="2" t="s">
        <v>1</v>
      </c>
      <c r="C19" s="1" t="s">
        <v>2</v>
      </c>
      <c r="D19" s="3" t="s">
        <v>1</v>
      </c>
      <c r="F19" t="s">
        <v>162</v>
      </c>
    </row>
    <row r="20" spans="1:6" x14ac:dyDescent="0.2">
      <c r="A20" s="4" t="s">
        <v>3</v>
      </c>
      <c r="B20" s="5"/>
      <c r="C20" s="4" t="s">
        <v>4</v>
      </c>
      <c r="D20" s="6"/>
    </row>
    <row r="21" spans="1:6" x14ac:dyDescent="0.2">
      <c r="A21" s="7" t="s">
        <v>146</v>
      </c>
      <c r="B21" s="8">
        <v>90000</v>
      </c>
      <c r="C21" s="7" t="s">
        <v>6</v>
      </c>
      <c r="D21" s="9">
        <v>150000</v>
      </c>
    </row>
    <row r="22" spans="1:6" x14ac:dyDescent="0.2">
      <c r="A22" s="7" t="s">
        <v>161</v>
      </c>
      <c r="B22" s="8">
        <v>21000</v>
      </c>
      <c r="C22" s="7"/>
      <c r="D22" s="9"/>
    </row>
    <row r="23" spans="1:6" x14ac:dyDescent="0.2">
      <c r="A23" s="7" t="s">
        <v>163</v>
      </c>
      <c r="B23" s="8">
        <v>-7000</v>
      </c>
      <c r="C23" s="77" t="s">
        <v>46</v>
      </c>
      <c r="D23" s="78">
        <f>B30-SUM(D21:D22)-SUM(D25:D29)</f>
        <v>-30125</v>
      </c>
    </row>
    <row r="24" spans="1:6" x14ac:dyDescent="0.2">
      <c r="A24" s="4" t="s">
        <v>8</v>
      </c>
      <c r="B24" s="5"/>
      <c r="C24" s="4" t="s">
        <v>9</v>
      </c>
      <c r="D24" s="6"/>
    </row>
    <row r="25" spans="1:6" x14ac:dyDescent="0.2">
      <c r="A25" s="7" t="s">
        <v>72</v>
      </c>
      <c r="B25" s="8">
        <v>14500</v>
      </c>
      <c r="C25" s="7" t="s">
        <v>10</v>
      </c>
      <c r="D25" s="9">
        <f>15000-(15000/4)</f>
        <v>11250</v>
      </c>
      <c r="E25" t="s">
        <v>160</v>
      </c>
    </row>
    <row r="26" spans="1:6" x14ac:dyDescent="0.2">
      <c r="A26" s="7" t="s">
        <v>11</v>
      </c>
      <c r="B26" s="8">
        <f>(170000-152000)+(1/5)*86000</f>
        <v>35200</v>
      </c>
      <c r="C26" s="7" t="s">
        <v>75</v>
      </c>
      <c r="D26" s="8">
        <v>6300</v>
      </c>
    </row>
    <row r="27" spans="1:6" x14ac:dyDescent="0.2">
      <c r="A27" s="4" t="s">
        <v>13</v>
      </c>
      <c r="B27" s="5"/>
      <c r="C27" s="4" t="s">
        <v>12</v>
      </c>
      <c r="D27" s="6"/>
    </row>
    <row r="28" spans="1:6" x14ac:dyDescent="0.2">
      <c r="A28" s="7" t="s">
        <v>14</v>
      </c>
      <c r="B28" s="8">
        <f>J14</f>
        <v>9725</v>
      </c>
      <c r="C28" s="7" t="s">
        <v>74</v>
      </c>
      <c r="D28" s="8">
        <f>(90000-77000)+(1/12)*18000</f>
        <v>14500</v>
      </c>
    </row>
    <row r="29" spans="1:6" x14ac:dyDescent="0.2">
      <c r="A29" s="7"/>
      <c r="B29" s="8"/>
      <c r="C29" s="7" t="s">
        <v>164</v>
      </c>
      <c r="D29" s="8">
        <f>138000*1/12</f>
        <v>11500</v>
      </c>
    </row>
    <row r="30" spans="1:6" x14ac:dyDescent="0.2">
      <c r="A30" s="12" t="s">
        <v>16</v>
      </c>
      <c r="B30" s="13">
        <f>SUM(B21:B28)</f>
        <v>163425</v>
      </c>
      <c r="C30" s="12" t="s">
        <v>16</v>
      </c>
      <c r="D30" s="14">
        <f>SUM(D21:D29)</f>
        <v>163425</v>
      </c>
    </row>
    <row r="32" spans="1:6" x14ac:dyDescent="0.2">
      <c r="A32" s="48" t="s">
        <v>32</v>
      </c>
      <c r="B32" s="48"/>
      <c r="C32" s="48"/>
      <c r="D32" s="48"/>
    </row>
    <row r="33" spans="1:4" x14ac:dyDescent="0.2">
      <c r="A33" s="48"/>
      <c r="B33" s="48"/>
      <c r="C33" s="48"/>
      <c r="D33" s="48"/>
    </row>
    <row r="34" spans="1:4" x14ac:dyDescent="0.2">
      <c r="A34" s="21" t="s">
        <v>33</v>
      </c>
      <c r="B34" s="22" t="s">
        <v>89</v>
      </c>
      <c r="C34" s="23" t="s">
        <v>34</v>
      </c>
      <c r="D34" s="24" t="s">
        <v>89</v>
      </c>
    </row>
    <row r="35" spans="1:4" x14ac:dyDescent="0.2">
      <c r="A35" s="25" t="s">
        <v>35</v>
      </c>
      <c r="B35" s="26"/>
      <c r="C35" s="27" t="s">
        <v>35</v>
      </c>
      <c r="D35" s="28"/>
    </row>
    <row r="36" spans="1:4" x14ac:dyDescent="0.2">
      <c r="A36" s="17" t="s">
        <v>150</v>
      </c>
      <c r="B36" s="19">
        <v>90000</v>
      </c>
      <c r="C36" s="17" t="s">
        <v>37</v>
      </c>
      <c r="D36" s="19">
        <v>170000</v>
      </c>
    </row>
    <row r="37" spans="1:4" x14ac:dyDescent="0.2">
      <c r="A37" s="17" t="s">
        <v>166</v>
      </c>
      <c r="B37" s="19">
        <v>-14500</v>
      </c>
      <c r="C37" s="17" t="s">
        <v>156</v>
      </c>
      <c r="D37" s="19">
        <v>86000</v>
      </c>
    </row>
    <row r="38" spans="1:4" x14ac:dyDescent="0.2">
      <c r="A38" s="17" t="s">
        <v>151</v>
      </c>
      <c r="B38" s="19">
        <v>13200</v>
      </c>
      <c r="C38" s="7"/>
      <c r="D38" s="9"/>
    </row>
    <row r="39" spans="1:4" x14ac:dyDescent="0.2">
      <c r="A39" s="17" t="s">
        <v>152</v>
      </c>
      <c r="B39" s="19">
        <v>18000</v>
      </c>
      <c r="C39" s="7"/>
      <c r="D39" s="9"/>
    </row>
    <row r="40" spans="1:4" x14ac:dyDescent="0.2">
      <c r="A40" s="17" t="s">
        <v>153</v>
      </c>
      <c r="B40" s="19">
        <v>15500</v>
      </c>
      <c r="C40" s="31"/>
      <c r="D40" s="30"/>
    </row>
    <row r="41" spans="1:4" x14ac:dyDescent="0.2">
      <c r="A41" s="17" t="s">
        <v>154</v>
      </c>
      <c r="B41" s="19">
        <v>11800</v>
      </c>
      <c r="C41" s="31"/>
      <c r="D41" s="30"/>
    </row>
    <row r="42" spans="1:4" x14ac:dyDescent="0.2">
      <c r="A42" s="17" t="s">
        <v>138</v>
      </c>
      <c r="B42" s="19">
        <v>138000</v>
      </c>
      <c r="C42" s="31"/>
      <c r="D42" s="30"/>
    </row>
    <row r="43" spans="1:4" x14ac:dyDescent="0.2">
      <c r="A43" s="17" t="s">
        <v>167</v>
      </c>
      <c r="B43" s="19">
        <v>6300</v>
      </c>
      <c r="C43" s="31"/>
      <c r="D43" s="30"/>
    </row>
    <row r="44" spans="1:4" x14ac:dyDescent="0.2">
      <c r="A44" s="17" t="s">
        <v>163</v>
      </c>
      <c r="B44" s="19">
        <v>7000</v>
      </c>
      <c r="C44" s="31"/>
      <c r="D44" s="30"/>
    </row>
    <row r="45" spans="1:4" x14ac:dyDescent="0.2">
      <c r="A45" s="25" t="s">
        <v>38</v>
      </c>
      <c r="B45" s="26"/>
      <c r="C45" s="27" t="s">
        <v>38</v>
      </c>
      <c r="D45" s="28"/>
    </row>
    <row r="46" spans="1:4" x14ac:dyDescent="0.2">
      <c r="A46" s="29" t="s">
        <v>165</v>
      </c>
      <c r="B46" s="30">
        <v>825</v>
      </c>
      <c r="C46" s="31"/>
      <c r="D46" s="32"/>
    </row>
    <row r="47" spans="1:4" x14ac:dyDescent="0.2">
      <c r="A47" s="25" t="s">
        <v>39</v>
      </c>
      <c r="B47" s="26"/>
      <c r="C47" s="27" t="s">
        <v>39</v>
      </c>
      <c r="D47" s="28"/>
    </row>
    <row r="48" spans="1:4" x14ac:dyDescent="0.2">
      <c r="A48" s="29"/>
      <c r="B48" s="30"/>
      <c r="C48" s="31"/>
      <c r="D48" s="30"/>
    </row>
    <row r="49" spans="1:4" x14ac:dyDescent="0.2">
      <c r="A49" s="35" t="s">
        <v>40</v>
      </c>
      <c r="B49" s="36">
        <f>SUM(B35:B48)</f>
        <v>286125</v>
      </c>
      <c r="C49" s="37" t="s">
        <v>41</v>
      </c>
      <c r="D49" s="38">
        <f>SUM(D36:D47)</f>
        <v>256000</v>
      </c>
    </row>
    <row r="50" spans="1:4" x14ac:dyDescent="0.2">
      <c r="A50" s="79" t="s">
        <v>42</v>
      </c>
      <c r="B50" s="80"/>
      <c r="C50" s="81" t="s">
        <v>7</v>
      </c>
      <c r="D50" s="80">
        <f>D49-B49</f>
        <v>-30125</v>
      </c>
    </row>
  </sheetData>
  <mergeCells count="3">
    <mergeCell ref="G3:J3"/>
    <mergeCell ref="G4:H4"/>
    <mergeCell ref="I4:J4"/>
  </mergeCell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3C19A-D1C4-8549-9254-7EBBFC8C0FDE}">
  <dimension ref="A2:C11"/>
  <sheetViews>
    <sheetView zoomScale="150" workbookViewId="0">
      <selection activeCell="C3" sqref="C3"/>
    </sheetView>
  </sheetViews>
  <sheetFormatPr baseColWidth="10" defaultRowHeight="16" x14ac:dyDescent="0.2"/>
  <cols>
    <col min="1" max="1" width="33.5" style="42" customWidth="1"/>
    <col min="2" max="3" width="19.5" style="16" customWidth="1"/>
  </cols>
  <sheetData>
    <row r="2" spans="1:3" x14ac:dyDescent="0.2">
      <c r="B2" s="43" t="s">
        <v>61</v>
      </c>
      <c r="C2" s="43" t="s">
        <v>62</v>
      </c>
    </row>
    <row r="3" spans="1:3" x14ac:dyDescent="0.2">
      <c r="A3" s="41" t="s">
        <v>52</v>
      </c>
      <c r="B3" s="44">
        <v>10000</v>
      </c>
      <c r="C3" s="43">
        <f>C5/0.95</f>
        <v>45000</v>
      </c>
    </row>
    <row r="4" spans="1:3" x14ac:dyDescent="0.2">
      <c r="A4" s="41" t="s">
        <v>53</v>
      </c>
      <c r="B4" s="43">
        <f>B3*0.05</f>
        <v>500</v>
      </c>
      <c r="C4" s="43">
        <f>C3*0.05</f>
        <v>2250</v>
      </c>
    </row>
    <row r="5" spans="1:3" x14ac:dyDescent="0.2">
      <c r="A5" s="41" t="s">
        <v>54</v>
      </c>
      <c r="B5" s="43">
        <f>B3-B4</f>
        <v>9500</v>
      </c>
      <c r="C5" s="43">
        <f>C6/0.08</f>
        <v>42750</v>
      </c>
    </row>
    <row r="6" spans="1:3" x14ac:dyDescent="0.2">
      <c r="A6" s="41" t="s">
        <v>57</v>
      </c>
      <c r="B6" s="43">
        <f>B5*0.08</f>
        <v>760</v>
      </c>
      <c r="C6" s="44">
        <v>3420</v>
      </c>
    </row>
    <row r="7" spans="1:3" x14ac:dyDescent="0.2">
      <c r="A7" s="41" t="s">
        <v>55</v>
      </c>
      <c r="B7" s="43">
        <f>B5-B6</f>
        <v>8740</v>
      </c>
      <c r="C7" s="43">
        <f>C5-C6</f>
        <v>39330</v>
      </c>
    </row>
    <row r="8" spans="1:3" x14ac:dyDescent="0.2">
      <c r="A8" s="41" t="s">
        <v>58</v>
      </c>
      <c r="B8" s="43">
        <f>B7*0.02</f>
        <v>174.8</v>
      </c>
      <c r="C8" s="43">
        <f>C7*0.02</f>
        <v>786.6</v>
      </c>
    </row>
    <row r="9" spans="1:3" x14ac:dyDescent="0.2">
      <c r="A9" s="41" t="s">
        <v>56</v>
      </c>
      <c r="B9" s="43">
        <f>B7-B8</f>
        <v>8565.2000000000007</v>
      </c>
      <c r="C9" s="43">
        <f>C7-C8</f>
        <v>38543.4</v>
      </c>
    </row>
    <row r="10" spans="1:3" x14ac:dyDescent="0.2">
      <c r="A10" s="41" t="s">
        <v>59</v>
      </c>
      <c r="B10" s="43">
        <f>B9*0.2</f>
        <v>1713.0400000000002</v>
      </c>
      <c r="C10" s="43">
        <f>C9*0.2</f>
        <v>7708.68</v>
      </c>
    </row>
    <row r="11" spans="1:3" x14ac:dyDescent="0.2">
      <c r="A11" s="41" t="s">
        <v>60</v>
      </c>
      <c r="B11" s="43">
        <f>B9+B10</f>
        <v>10278.240000000002</v>
      </c>
      <c r="C11" s="43">
        <f>C9+C10</f>
        <v>46252.08</v>
      </c>
    </row>
  </sheetData>
  <pageMargins left="0.7" right="0.7" top="0.75" bottom="0.75" header="0.3" footer="0.3"/>
  <ignoredErrors>
    <ignoredError sqref="B6 B8:C8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2E97-4B4D-2A4F-B570-123491142894}">
  <dimension ref="B2:K16"/>
  <sheetViews>
    <sheetView zoomScale="150" workbookViewId="0">
      <selection activeCell="F8" sqref="F8"/>
    </sheetView>
  </sheetViews>
  <sheetFormatPr baseColWidth="10" defaultRowHeight="16" x14ac:dyDescent="0.2"/>
  <cols>
    <col min="1" max="1" width="12.1640625" bestFit="1" customWidth="1"/>
    <col min="2" max="2" width="12.83203125" style="70" customWidth="1"/>
    <col min="3" max="3" width="17.83203125" customWidth="1"/>
    <col min="5" max="5" width="12.83203125" customWidth="1"/>
    <col min="6" max="6" width="17.83203125" customWidth="1"/>
    <col min="8" max="8" width="12.83203125" customWidth="1"/>
    <col min="9" max="9" width="17.83203125" customWidth="1"/>
    <col min="11" max="11" width="12.5" bestFit="1" customWidth="1"/>
  </cols>
  <sheetData>
    <row r="2" spans="2:11" x14ac:dyDescent="0.2">
      <c r="B2" s="73">
        <v>1</v>
      </c>
      <c r="E2">
        <v>2</v>
      </c>
      <c r="H2">
        <v>3</v>
      </c>
    </row>
    <row r="3" spans="2:11" x14ac:dyDescent="0.2">
      <c r="B3"/>
      <c r="C3" s="65" t="s">
        <v>124</v>
      </c>
      <c r="F3" s="65" t="s">
        <v>124</v>
      </c>
      <c r="I3" s="65" t="s">
        <v>124</v>
      </c>
    </row>
    <row r="4" spans="2:11" x14ac:dyDescent="0.2">
      <c r="B4" s="17" t="s">
        <v>125</v>
      </c>
      <c r="C4" s="71">
        <f>C6/0.92</f>
        <v>119565.21739130434</v>
      </c>
      <c r="E4" s="17" t="s">
        <v>125</v>
      </c>
      <c r="F4" s="71">
        <f>F6/0.97</f>
        <v>193016.36824018811</v>
      </c>
      <c r="H4" s="17" t="s">
        <v>125</v>
      </c>
      <c r="I4" s="71">
        <f>I6/0.97</f>
        <v>110936.79964141639</v>
      </c>
    </row>
    <row r="5" spans="2:11" x14ac:dyDescent="0.2">
      <c r="B5" s="17" t="s">
        <v>126</v>
      </c>
      <c r="C5" s="71">
        <f>C4*0.08</f>
        <v>9565.217391304348</v>
      </c>
      <c r="E5" s="17" t="s">
        <v>139</v>
      </c>
      <c r="F5" s="71">
        <f>F4*0.03</f>
        <v>5790.4910472056426</v>
      </c>
      <c r="H5" s="17" t="s">
        <v>139</v>
      </c>
      <c r="I5" s="71">
        <f>I4*0.03</f>
        <v>3328.1039892424915</v>
      </c>
    </row>
    <row r="6" spans="2:11" x14ac:dyDescent="0.2">
      <c r="B6" s="17" t="s">
        <v>54</v>
      </c>
      <c r="C6" s="71">
        <f>C7/0.05</f>
        <v>110000</v>
      </c>
      <c r="E6" s="17" t="s">
        <v>54</v>
      </c>
      <c r="F6" s="71">
        <f>F8/0.96</f>
        <v>187225.87719298247</v>
      </c>
      <c r="H6" s="17" t="s">
        <v>54</v>
      </c>
      <c r="I6" s="71">
        <f>I8/0.92</f>
        <v>107608.6956521739</v>
      </c>
    </row>
    <row r="7" spans="2:11" x14ac:dyDescent="0.2">
      <c r="B7" s="17" t="s">
        <v>127</v>
      </c>
      <c r="C7" s="72">
        <v>5500</v>
      </c>
      <c r="E7" s="17" t="s">
        <v>145</v>
      </c>
      <c r="F7" s="71">
        <f>F6*0.04</f>
        <v>7489.0350877192986</v>
      </c>
      <c r="H7" s="17" t="s">
        <v>126</v>
      </c>
      <c r="I7" s="71">
        <f>I6*0.08</f>
        <v>8608.6956521739121</v>
      </c>
    </row>
    <row r="8" spans="2:11" x14ac:dyDescent="0.2">
      <c r="B8" s="17" t="s">
        <v>55</v>
      </c>
      <c r="C8" s="71">
        <f>C6-C7</f>
        <v>104500</v>
      </c>
      <c r="E8" s="17" t="s">
        <v>55</v>
      </c>
      <c r="F8" s="71">
        <f>F10/0.95</f>
        <v>179736.84210526317</v>
      </c>
      <c r="H8" s="17" t="s">
        <v>55</v>
      </c>
      <c r="I8" s="71">
        <f>I10-I9</f>
        <v>99000</v>
      </c>
    </row>
    <row r="9" spans="2:11" x14ac:dyDescent="0.2">
      <c r="B9" s="17" t="s">
        <v>128</v>
      </c>
      <c r="C9" s="71">
        <f>C8*0.02</f>
        <v>2090</v>
      </c>
      <c r="E9" s="17" t="s">
        <v>140</v>
      </c>
      <c r="F9" s="71">
        <f>F8*0.05</f>
        <v>8986.8421052631584</v>
      </c>
      <c r="H9" s="17" t="s">
        <v>136</v>
      </c>
      <c r="I9" s="72">
        <v>1000</v>
      </c>
    </row>
    <row r="10" spans="2:11" x14ac:dyDescent="0.2">
      <c r="B10" s="17" t="s">
        <v>129</v>
      </c>
      <c r="C10" s="71">
        <f>C8-C9</f>
        <v>102410</v>
      </c>
      <c r="E10" s="17" t="s">
        <v>129</v>
      </c>
      <c r="F10" s="71">
        <f>F12-F11</f>
        <v>170750</v>
      </c>
      <c r="H10" s="17" t="s">
        <v>129</v>
      </c>
      <c r="I10" s="71">
        <f>I11*100/5</f>
        <v>100000</v>
      </c>
      <c r="K10" s="74"/>
    </row>
    <row r="11" spans="2:11" x14ac:dyDescent="0.2">
      <c r="B11" s="17" t="s">
        <v>130</v>
      </c>
      <c r="C11" s="71">
        <f>C10*0.1</f>
        <v>10241</v>
      </c>
      <c r="E11" s="17" t="s">
        <v>136</v>
      </c>
      <c r="F11" s="72">
        <v>5000</v>
      </c>
      <c r="H11" s="17" t="s">
        <v>140</v>
      </c>
      <c r="I11" s="72">
        <v>5000</v>
      </c>
    </row>
    <row r="12" spans="2:11" x14ac:dyDescent="0.2">
      <c r="B12" s="17" t="s">
        <v>131</v>
      </c>
      <c r="C12" s="71">
        <f>C10+C11</f>
        <v>112651</v>
      </c>
      <c r="E12" s="17" t="s">
        <v>131</v>
      </c>
      <c r="F12" s="71">
        <f>F14/1.2</f>
        <v>175750</v>
      </c>
      <c r="H12" s="17" t="s">
        <v>131</v>
      </c>
      <c r="I12" s="71">
        <f>I10-I11</f>
        <v>95000</v>
      </c>
    </row>
    <row r="13" spans="2:11" x14ac:dyDescent="0.2">
      <c r="B13" s="17" t="s">
        <v>132</v>
      </c>
      <c r="C13" s="72">
        <v>240</v>
      </c>
      <c r="E13" s="17" t="s">
        <v>141</v>
      </c>
      <c r="F13" s="71">
        <f>F12*0.2</f>
        <v>35150</v>
      </c>
      <c r="H13" s="17" t="s">
        <v>141</v>
      </c>
      <c r="I13" s="71">
        <f>I12*0.2</f>
        <v>19000</v>
      </c>
    </row>
    <row r="14" spans="2:11" x14ac:dyDescent="0.2">
      <c r="B14" s="17" t="s">
        <v>133</v>
      </c>
      <c r="C14" s="71">
        <f>C12+C13</f>
        <v>112891</v>
      </c>
      <c r="E14" s="17" t="s">
        <v>133</v>
      </c>
      <c r="F14" s="71">
        <f>F16+F15</f>
        <v>210900</v>
      </c>
      <c r="H14" s="17" t="s">
        <v>133</v>
      </c>
      <c r="I14" s="71">
        <f>I12+I13</f>
        <v>114000</v>
      </c>
    </row>
    <row r="15" spans="2:11" x14ac:dyDescent="0.2">
      <c r="B15" s="17" t="s">
        <v>134</v>
      </c>
      <c r="C15" s="72">
        <v>1000</v>
      </c>
      <c r="E15" s="17" t="s">
        <v>134</v>
      </c>
      <c r="F15" s="72">
        <v>7000</v>
      </c>
      <c r="H15" s="17" t="s">
        <v>134</v>
      </c>
      <c r="I15" s="72">
        <v>4000</v>
      </c>
    </row>
    <row r="16" spans="2:11" x14ac:dyDescent="0.2">
      <c r="B16" s="17" t="s">
        <v>135</v>
      </c>
      <c r="C16" s="71">
        <f>C14-C15</f>
        <v>111891</v>
      </c>
      <c r="E16" s="17" t="s">
        <v>135</v>
      </c>
      <c r="F16" s="72">
        <v>203900</v>
      </c>
      <c r="H16" s="17" t="s">
        <v>135</v>
      </c>
      <c r="I16" s="71">
        <f>I14-I15</f>
        <v>110000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CE030-1A09-7845-B40F-4FABC2DA8979}">
  <dimension ref="A1:D11"/>
  <sheetViews>
    <sheetView zoomScale="210" workbookViewId="0">
      <selection activeCell="C2" sqref="C2"/>
    </sheetView>
  </sheetViews>
  <sheetFormatPr baseColWidth="10" defaultRowHeight="16" x14ac:dyDescent="0.2"/>
  <cols>
    <col min="1" max="1" width="24.6640625" bestFit="1" customWidth="1"/>
    <col min="2" max="4" width="17.83203125" customWidth="1"/>
  </cols>
  <sheetData>
    <row r="1" spans="1:4" x14ac:dyDescent="0.2">
      <c r="A1" s="55"/>
      <c r="B1" s="56" t="s">
        <v>121</v>
      </c>
      <c r="C1" s="57" t="s">
        <v>122</v>
      </c>
      <c r="D1" s="63" t="s">
        <v>123</v>
      </c>
    </row>
    <row r="2" spans="1:4" x14ac:dyDescent="0.2">
      <c r="A2" s="58" t="s">
        <v>114</v>
      </c>
      <c r="B2" s="59">
        <v>500</v>
      </c>
      <c r="C2" s="60">
        <f>C5/1.3</f>
        <v>1000</v>
      </c>
      <c r="D2" s="65">
        <f>D5/1.2</f>
        <v>5833.3333333333339</v>
      </c>
    </row>
    <row r="3" spans="1:4" x14ac:dyDescent="0.2">
      <c r="A3" s="61" t="s">
        <v>115</v>
      </c>
      <c r="B3" s="83">
        <f>B4/B2</f>
        <v>0.3</v>
      </c>
      <c r="C3" s="66">
        <v>0.3</v>
      </c>
      <c r="D3" s="68">
        <v>0.2</v>
      </c>
    </row>
    <row r="4" spans="1:4" x14ac:dyDescent="0.2">
      <c r="A4" s="61" t="s">
        <v>116</v>
      </c>
      <c r="B4" s="60">
        <f>B5-B2</f>
        <v>150</v>
      </c>
      <c r="C4" s="75">
        <f>C5-C2</f>
        <v>300</v>
      </c>
      <c r="D4" s="76">
        <f>D5-D2</f>
        <v>1166.6666666666661</v>
      </c>
    </row>
    <row r="5" spans="1:4" x14ac:dyDescent="0.2">
      <c r="A5" s="61" t="s">
        <v>117</v>
      </c>
      <c r="B5" s="60">
        <f>B7/1.055</f>
        <v>650</v>
      </c>
      <c r="C5" s="59">
        <v>1300</v>
      </c>
      <c r="D5" s="69">
        <v>7000</v>
      </c>
    </row>
    <row r="6" spans="1:4" x14ac:dyDescent="0.2">
      <c r="A6" s="61" t="s">
        <v>118</v>
      </c>
      <c r="B6" s="59" t="s">
        <v>142</v>
      </c>
      <c r="C6" s="59" t="s">
        <v>143</v>
      </c>
      <c r="D6" s="65" t="s">
        <v>144</v>
      </c>
    </row>
    <row r="7" spans="1:4" x14ac:dyDescent="0.2">
      <c r="A7" s="61" t="s">
        <v>119</v>
      </c>
      <c r="B7" s="60">
        <f>B2*B8</f>
        <v>685.75</v>
      </c>
      <c r="C7" s="60">
        <f>C5*1.2</f>
        <v>1560</v>
      </c>
      <c r="D7" s="69">
        <v>7700</v>
      </c>
    </row>
    <row r="8" spans="1:4" ht="34" x14ac:dyDescent="0.2">
      <c r="A8" s="62" t="s">
        <v>120</v>
      </c>
      <c r="B8" s="67">
        <v>1.3714999999999999</v>
      </c>
      <c r="C8" s="64">
        <f>C7/C2</f>
        <v>1.56</v>
      </c>
      <c r="D8" s="63">
        <f>D7/D2</f>
        <v>1.3199999999999998</v>
      </c>
    </row>
    <row r="10" spans="1:4" x14ac:dyDescent="0.2">
      <c r="B10" s="52"/>
    </row>
    <row r="11" spans="1:4" x14ac:dyDescent="0.2">
      <c r="B11" s="5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8DD9D-5AB7-1341-A8A2-162BCCC6857D}">
  <dimension ref="A1:X44"/>
  <sheetViews>
    <sheetView zoomScale="125" workbookViewId="0">
      <selection activeCell="D15" sqref="D15"/>
    </sheetView>
  </sheetViews>
  <sheetFormatPr baseColWidth="10" defaultRowHeight="16" x14ac:dyDescent="0.2"/>
  <cols>
    <col min="1" max="1" width="18.83203125" bestFit="1" customWidth="1"/>
    <col min="2" max="2" width="14.83203125" customWidth="1"/>
    <col min="3" max="3" width="18.83203125" customWidth="1"/>
    <col min="4" max="4" width="14.83203125" customWidth="1"/>
    <col min="5" max="5" width="10.83203125" style="148"/>
    <col min="6" max="6" width="18.83203125" customWidth="1"/>
    <col min="7" max="7" width="14.83203125" customWidth="1"/>
    <col min="8" max="8" width="18.83203125" customWidth="1"/>
    <col min="9" max="9" width="14.83203125" customWidth="1"/>
    <col min="10" max="24" width="10.83203125" style="148"/>
  </cols>
  <sheetData>
    <row r="1" spans="1:24" s="148" customFormat="1" x14ac:dyDescent="0.2">
      <c r="A1" s="285" t="s">
        <v>169</v>
      </c>
      <c r="B1" s="285"/>
      <c r="C1" s="285"/>
      <c r="D1" s="285"/>
      <c r="F1" s="285" t="s">
        <v>170</v>
      </c>
      <c r="G1" s="285"/>
      <c r="H1" s="285"/>
      <c r="I1" s="285"/>
    </row>
    <row r="2" spans="1:24" s="148" customFormat="1" x14ac:dyDescent="0.2">
      <c r="A2" s="286"/>
      <c r="B2" s="286"/>
      <c r="C2" s="286"/>
      <c r="D2" s="286"/>
      <c r="F2" s="286"/>
      <c r="G2" s="286"/>
      <c r="H2" s="286"/>
      <c r="I2" s="286"/>
    </row>
    <row r="3" spans="1:24" x14ac:dyDescent="0.2">
      <c r="A3" s="287" t="s">
        <v>33</v>
      </c>
      <c r="B3" s="288" t="s">
        <v>89</v>
      </c>
      <c r="C3" s="287" t="s">
        <v>34</v>
      </c>
      <c r="D3" s="289" t="s">
        <v>89</v>
      </c>
      <c r="E3" s="303"/>
      <c r="F3" s="287" t="s">
        <v>33</v>
      </c>
      <c r="G3" s="288" t="s">
        <v>89</v>
      </c>
      <c r="H3" s="287" t="s">
        <v>34</v>
      </c>
      <c r="I3" s="289" t="s">
        <v>89</v>
      </c>
      <c r="J3" s="28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</row>
    <row r="4" spans="1:24" x14ac:dyDescent="0.2">
      <c r="A4" s="290" t="s">
        <v>35</v>
      </c>
      <c r="B4" s="291"/>
      <c r="C4" s="290" t="s">
        <v>35</v>
      </c>
      <c r="D4" s="292"/>
      <c r="E4" s="303"/>
      <c r="F4" s="290" t="s">
        <v>35</v>
      </c>
      <c r="G4" s="291"/>
      <c r="H4" s="290" t="s">
        <v>35</v>
      </c>
      <c r="I4" s="292"/>
      <c r="J4" s="222"/>
    </row>
    <row r="5" spans="1:24" x14ac:dyDescent="0.2">
      <c r="A5" s="293"/>
      <c r="B5" s="294">
        <v>280000</v>
      </c>
      <c r="C5" s="293"/>
      <c r="D5" s="294">
        <v>250000</v>
      </c>
      <c r="E5" s="303"/>
      <c r="F5" s="293"/>
      <c r="G5" s="294">
        <v>300000</v>
      </c>
      <c r="H5" s="293"/>
      <c r="I5" s="294">
        <v>340000</v>
      </c>
      <c r="J5" s="222"/>
    </row>
    <row r="6" spans="1:24" x14ac:dyDescent="0.2">
      <c r="A6" s="290" t="s">
        <v>38</v>
      </c>
      <c r="B6" s="291"/>
      <c r="C6" s="290" t="s">
        <v>38</v>
      </c>
      <c r="D6" s="292"/>
      <c r="E6" s="303"/>
      <c r="F6" s="290" t="s">
        <v>38</v>
      </c>
      <c r="G6" s="291"/>
      <c r="H6" s="290" t="s">
        <v>38</v>
      </c>
      <c r="I6" s="292"/>
      <c r="J6" s="222"/>
    </row>
    <row r="7" spans="1:24" x14ac:dyDescent="0.2">
      <c r="A7" s="295"/>
      <c r="B7" s="296">
        <v>50000</v>
      </c>
      <c r="C7" s="295"/>
      <c r="D7" s="297">
        <v>60000</v>
      </c>
      <c r="E7" s="303"/>
      <c r="F7" s="295"/>
      <c r="G7" s="296">
        <v>80000</v>
      </c>
      <c r="H7" s="295"/>
      <c r="I7" s="297">
        <v>30000</v>
      </c>
      <c r="J7" s="222"/>
    </row>
    <row r="8" spans="1:24" x14ac:dyDescent="0.2">
      <c r="A8" s="290" t="s">
        <v>39</v>
      </c>
      <c r="B8" s="291"/>
      <c r="C8" s="290" t="s">
        <v>39</v>
      </c>
      <c r="D8" s="292"/>
      <c r="E8" s="303"/>
      <c r="F8" s="290" t="s">
        <v>39</v>
      </c>
      <c r="G8" s="291"/>
      <c r="H8" s="290" t="s">
        <v>39</v>
      </c>
      <c r="I8" s="292"/>
      <c r="J8" s="222"/>
    </row>
    <row r="9" spans="1:24" x14ac:dyDescent="0.2">
      <c r="A9" s="295"/>
      <c r="B9" s="296">
        <v>15000</v>
      </c>
      <c r="C9" s="295"/>
      <c r="D9" s="296">
        <v>45000</v>
      </c>
      <c r="E9" s="303"/>
      <c r="F9" s="295"/>
      <c r="G9" s="296">
        <v>5000</v>
      </c>
      <c r="H9" s="295"/>
      <c r="I9" s="296">
        <v>4000</v>
      </c>
      <c r="J9" s="222"/>
    </row>
    <row r="10" spans="1:24" x14ac:dyDescent="0.2">
      <c r="A10" s="298" t="s">
        <v>40</v>
      </c>
      <c r="B10" s="299">
        <f>SUM(B4:B9)</f>
        <v>345000</v>
      </c>
      <c r="C10" s="298" t="s">
        <v>41</v>
      </c>
      <c r="D10" s="300">
        <f>SUM(D5:D9)</f>
        <v>355000</v>
      </c>
      <c r="E10" s="303"/>
      <c r="F10" s="298" t="s">
        <v>40</v>
      </c>
      <c r="G10" s="299">
        <f>SUM(G4:G9)</f>
        <v>385000</v>
      </c>
      <c r="H10" s="298" t="s">
        <v>41</v>
      </c>
      <c r="I10" s="300">
        <f>SUM(I5:I9)</f>
        <v>374000</v>
      </c>
      <c r="J10" s="222"/>
    </row>
    <row r="11" spans="1:24" x14ac:dyDescent="0.2">
      <c r="A11" s="301" t="s">
        <v>42</v>
      </c>
      <c r="B11" s="302">
        <f>D10-B10</f>
        <v>10000</v>
      </c>
      <c r="C11" s="301" t="s">
        <v>42</v>
      </c>
      <c r="D11" s="302"/>
      <c r="E11" s="303"/>
      <c r="F11" s="301" t="s">
        <v>42</v>
      </c>
      <c r="G11" s="302"/>
      <c r="H11" s="301" t="s">
        <v>7</v>
      </c>
      <c r="I11" s="302">
        <f>I10-G10</f>
        <v>-11000</v>
      </c>
      <c r="J11" s="304"/>
      <c r="K11" s="223"/>
      <c r="L11" s="223"/>
      <c r="M11" s="223"/>
      <c r="N11" s="223"/>
      <c r="O11" s="223"/>
      <c r="P11" s="223"/>
      <c r="Q11" s="223"/>
      <c r="R11" s="223"/>
      <c r="S11" s="223"/>
      <c r="T11" s="223"/>
      <c r="U11" s="223"/>
      <c r="V11" s="223"/>
      <c r="W11" s="223"/>
      <c r="X11" s="223"/>
    </row>
    <row r="12" spans="1:24" s="148" customFormat="1" x14ac:dyDescent="0.2">
      <c r="A12" s="224"/>
      <c r="B12" s="224"/>
      <c r="C12" s="224"/>
      <c r="D12" s="224"/>
      <c r="F12" s="224"/>
      <c r="G12" s="224"/>
      <c r="H12" s="224"/>
      <c r="I12" s="224"/>
    </row>
    <row r="13" spans="1:24" s="224" customFormat="1" x14ac:dyDescent="0.2">
      <c r="D13" s="283"/>
      <c r="E13" s="148"/>
      <c r="F13" s="284"/>
      <c r="I13" s="283"/>
    </row>
    <row r="14" spans="1:24" s="148" customFormat="1" x14ac:dyDescent="0.2">
      <c r="D14" s="221"/>
      <c r="F14" s="222"/>
      <c r="I14" s="221"/>
    </row>
    <row r="15" spans="1:24" s="148" customFormat="1" x14ac:dyDescent="0.2">
      <c r="D15" s="221"/>
      <c r="F15" s="222"/>
      <c r="I15" s="221"/>
    </row>
    <row r="16" spans="1:24" s="148" customFormat="1" x14ac:dyDescent="0.2">
      <c r="D16" s="221"/>
      <c r="F16" s="222"/>
      <c r="I16" s="221"/>
    </row>
    <row r="17" spans="4:9" s="148" customFormat="1" x14ac:dyDescent="0.2">
      <c r="D17" s="221"/>
      <c r="F17" s="222"/>
      <c r="I17" s="221"/>
    </row>
    <row r="18" spans="4:9" s="148" customFormat="1" x14ac:dyDescent="0.2">
      <c r="D18" s="221"/>
      <c r="F18" s="222"/>
      <c r="I18" s="221"/>
    </row>
    <row r="19" spans="4:9" s="148" customFormat="1" x14ac:dyDescent="0.2">
      <c r="D19" s="221"/>
      <c r="F19" s="222"/>
      <c r="I19" s="221"/>
    </row>
    <row r="20" spans="4:9" s="148" customFormat="1" x14ac:dyDescent="0.2">
      <c r="D20" s="221"/>
      <c r="F20" s="222"/>
      <c r="I20" s="221"/>
    </row>
    <row r="21" spans="4:9" s="148" customFormat="1" x14ac:dyDescent="0.2">
      <c r="D21" s="221"/>
      <c r="F21" s="222"/>
      <c r="I21" s="221"/>
    </row>
    <row r="22" spans="4:9" s="148" customFormat="1" x14ac:dyDescent="0.2">
      <c r="D22" s="221"/>
      <c r="F22" s="222"/>
      <c r="I22" s="221"/>
    </row>
    <row r="23" spans="4:9" s="148" customFormat="1" x14ac:dyDescent="0.2">
      <c r="D23" s="221"/>
      <c r="F23" s="222"/>
      <c r="I23" s="221"/>
    </row>
    <row r="24" spans="4:9" s="148" customFormat="1" x14ac:dyDescent="0.2">
      <c r="D24" s="221"/>
      <c r="F24" s="222"/>
      <c r="I24" s="221"/>
    </row>
    <row r="25" spans="4:9" s="148" customFormat="1" x14ac:dyDescent="0.2">
      <c r="D25" s="221"/>
      <c r="F25" s="222"/>
      <c r="I25" s="221"/>
    </row>
    <row r="26" spans="4:9" s="148" customFormat="1" x14ac:dyDescent="0.2">
      <c r="D26" s="221"/>
      <c r="F26" s="222"/>
      <c r="I26" s="221"/>
    </row>
    <row r="27" spans="4:9" s="148" customFormat="1" x14ac:dyDescent="0.2">
      <c r="D27" s="221"/>
      <c r="F27" s="222"/>
      <c r="I27" s="221"/>
    </row>
    <row r="28" spans="4:9" s="148" customFormat="1" x14ac:dyDescent="0.2">
      <c r="D28" s="221"/>
      <c r="F28" s="222"/>
      <c r="I28" s="221"/>
    </row>
    <row r="29" spans="4:9" s="148" customFormat="1" x14ac:dyDescent="0.2">
      <c r="D29" s="221"/>
      <c r="F29" s="222"/>
      <c r="I29" s="221"/>
    </row>
    <row r="30" spans="4:9" s="148" customFormat="1" x14ac:dyDescent="0.2">
      <c r="D30" s="221"/>
      <c r="F30" s="222"/>
      <c r="I30" s="221"/>
    </row>
    <row r="31" spans="4:9" s="148" customFormat="1" x14ac:dyDescent="0.2">
      <c r="D31" s="221"/>
      <c r="F31" s="222"/>
      <c r="I31" s="221"/>
    </row>
    <row r="32" spans="4:9" s="148" customFormat="1" x14ac:dyDescent="0.2">
      <c r="D32" s="221"/>
      <c r="F32" s="222"/>
      <c r="I32" s="221"/>
    </row>
    <row r="33" spans="4:9" s="148" customFormat="1" x14ac:dyDescent="0.2">
      <c r="D33" s="221"/>
      <c r="F33" s="222"/>
      <c r="I33" s="221"/>
    </row>
    <row r="34" spans="4:9" s="148" customFormat="1" x14ac:dyDescent="0.2">
      <c r="D34" s="221"/>
      <c r="F34" s="222"/>
      <c r="I34" s="221"/>
    </row>
    <row r="35" spans="4:9" s="148" customFormat="1" x14ac:dyDescent="0.2">
      <c r="D35" s="221"/>
      <c r="F35" s="222"/>
      <c r="I35" s="221"/>
    </row>
    <row r="36" spans="4:9" s="148" customFormat="1" x14ac:dyDescent="0.2">
      <c r="D36" s="221"/>
      <c r="F36" s="222"/>
      <c r="I36" s="221"/>
    </row>
    <row r="37" spans="4:9" s="148" customFormat="1" x14ac:dyDescent="0.2">
      <c r="D37" s="221"/>
      <c r="F37" s="222"/>
      <c r="I37" s="221"/>
    </row>
    <row r="38" spans="4:9" s="148" customFormat="1" x14ac:dyDescent="0.2">
      <c r="D38" s="221"/>
      <c r="F38" s="222"/>
      <c r="I38" s="221"/>
    </row>
    <row r="39" spans="4:9" s="148" customFormat="1" x14ac:dyDescent="0.2">
      <c r="D39" s="221"/>
      <c r="F39" s="222"/>
      <c r="I39" s="221"/>
    </row>
    <row r="40" spans="4:9" s="148" customFormat="1" x14ac:dyDescent="0.2">
      <c r="D40" s="221"/>
      <c r="F40" s="222"/>
      <c r="I40" s="221"/>
    </row>
    <row r="41" spans="4:9" s="148" customFormat="1" x14ac:dyDescent="0.2">
      <c r="D41" s="221"/>
      <c r="F41" s="222"/>
      <c r="I41" s="221"/>
    </row>
    <row r="42" spans="4:9" s="148" customFormat="1" x14ac:dyDescent="0.2">
      <c r="D42" s="221"/>
      <c r="F42" s="222"/>
      <c r="I42" s="221"/>
    </row>
    <row r="43" spans="4:9" s="148" customFormat="1" x14ac:dyDescent="0.2">
      <c r="D43" s="221"/>
      <c r="F43" s="222"/>
      <c r="I43" s="221"/>
    </row>
    <row r="44" spans="4:9" s="148" customFormat="1" x14ac:dyDescent="0.2">
      <c r="D44" s="221"/>
      <c r="F44" s="222"/>
      <c r="I44" s="22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9161D-61E4-2F47-9F37-74B315ED68E9}">
  <dimension ref="A1:I19"/>
  <sheetViews>
    <sheetView zoomScale="150" workbookViewId="0">
      <selection activeCell="C18" sqref="C18"/>
    </sheetView>
  </sheetViews>
  <sheetFormatPr baseColWidth="10" defaultRowHeight="16" x14ac:dyDescent="0.2"/>
  <cols>
    <col min="1" max="1" width="17.83203125" customWidth="1"/>
    <col min="2" max="2" width="14.83203125" style="85" customWidth="1"/>
    <col min="3" max="3" width="17.83203125" customWidth="1"/>
    <col min="4" max="4" width="14.83203125" style="85" customWidth="1"/>
    <col min="6" max="6" width="13" customWidth="1"/>
    <col min="7" max="7" width="14" style="84" bestFit="1" customWidth="1"/>
    <col min="9" max="9" width="18" bestFit="1" customWidth="1"/>
  </cols>
  <sheetData>
    <row r="1" spans="1:9" x14ac:dyDescent="0.2">
      <c r="A1" s="240" t="s">
        <v>171</v>
      </c>
      <c r="B1" s="240"/>
      <c r="C1" s="240" t="s">
        <v>172</v>
      </c>
      <c r="D1" s="240"/>
      <c r="F1" s="63" t="s">
        <v>190</v>
      </c>
      <c r="G1" s="65" t="s">
        <v>168</v>
      </c>
      <c r="H1" s="63" t="s">
        <v>183</v>
      </c>
      <c r="I1" s="63" t="s">
        <v>198</v>
      </c>
    </row>
    <row r="2" spans="1:9" x14ac:dyDescent="0.2">
      <c r="A2" s="41" t="s">
        <v>154</v>
      </c>
      <c r="B2" s="86">
        <v>4953</v>
      </c>
      <c r="C2" s="87" t="s">
        <v>173</v>
      </c>
      <c r="D2" s="86">
        <f>1990*11*52/1.07</f>
        <v>1063813.0841121494</v>
      </c>
      <c r="F2" s="17" t="s">
        <v>191</v>
      </c>
      <c r="G2" s="90">
        <v>1309308</v>
      </c>
      <c r="H2" s="91">
        <v>1</v>
      </c>
      <c r="I2" s="95">
        <f>G2*0.8</f>
        <v>1047446.4</v>
      </c>
    </row>
    <row r="3" spans="1:9" x14ac:dyDescent="0.2">
      <c r="A3" s="41" t="s">
        <v>174</v>
      </c>
      <c r="B3" s="86">
        <f>1830*12*1.5/1.07</f>
        <v>30785.04672897196</v>
      </c>
      <c r="C3" s="41"/>
      <c r="D3" s="86"/>
      <c r="F3" s="17" t="s">
        <v>193</v>
      </c>
      <c r="G3" s="90">
        <f>D10</f>
        <v>1093272.5141121494</v>
      </c>
      <c r="H3" s="93">
        <f>G3/G2</f>
        <v>0.83500025518224086</v>
      </c>
      <c r="I3" s="95">
        <f>G3*0.8</f>
        <v>874618.01128971949</v>
      </c>
    </row>
    <row r="4" spans="1:9" x14ac:dyDescent="0.2">
      <c r="A4" s="41" t="s">
        <v>175</v>
      </c>
      <c r="B4" s="86">
        <f>435*11/1.07</f>
        <v>4471.9626168224295</v>
      </c>
      <c r="C4" s="41"/>
      <c r="D4" s="86"/>
      <c r="F4" s="17" t="s">
        <v>192</v>
      </c>
      <c r="G4" s="90">
        <f>G2-G3</f>
        <v>216035.48588785063</v>
      </c>
      <c r="H4" s="94">
        <f>H2-H3</f>
        <v>0.16499974481775914</v>
      </c>
      <c r="I4" s="95">
        <f>I2-I3</f>
        <v>172828.38871028053</v>
      </c>
    </row>
    <row r="5" spans="1:9" x14ac:dyDescent="0.2">
      <c r="A5" s="41" t="s">
        <v>152</v>
      </c>
      <c r="B5" s="86">
        <f>2980*12/1.07</f>
        <v>33420.560747663549</v>
      </c>
      <c r="C5" s="41"/>
      <c r="D5" s="86"/>
      <c r="F5" s="17" t="s">
        <v>194</v>
      </c>
      <c r="G5" s="90">
        <f>B10</f>
        <v>172995.99065420558</v>
      </c>
      <c r="H5" s="92" t="s">
        <v>197</v>
      </c>
      <c r="I5" s="95">
        <f>G5</f>
        <v>172995.99065420558</v>
      </c>
    </row>
    <row r="6" spans="1:9" x14ac:dyDescent="0.2">
      <c r="A6" s="41" t="s">
        <v>176</v>
      </c>
      <c r="B6" s="86">
        <f>2900*12*1.5/1.07</f>
        <v>48785.04672897196</v>
      </c>
      <c r="C6" s="41"/>
      <c r="D6" s="86"/>
      <c r="F6" s="17" t="s">
        <v>195</v>
      </c>
      <c r="G6" s="90">
        <f>G4-G5</f>
        <v>43039.495233645051</v>
      </c>
      <c r="H6" s="92" t="s">
        <v>196</v>
      </c>
      <c r="I6" s="95">
        <f>I4-I5</f>
        <v>-167.60194392505218</v>
      </c>
    </row>
    <row r="7" spans="1:9" x14ac:dyDescent="0.2">
      <c r="A7" s="41" t="s">
        <v>177</v>
      </c>
      <c r="B7" s="86">
        <f>25155/5/1.07</f>
        <v>4701.8691588785041</v>
      </c>
      <c r="C7" s="41"/>
      <c r="D7" s="86"/>
    </row>
    <row r="8" spans="1:9" x14ac:dyDescent="0.2">
      <c r="A8" s="41" t="s">
        <v>178</v>
      </c>
      <c r="B8" s="86">
        <f>890*12*1.5*2/1.07</f>
        <v>29943.925233644859</v>
      </c>
      <c r="C8" s="41" t="s">
        <v>180</v>
      </c>
      <c r="D8" s="86">
        <f>1309308*0.015*1.5</f>
        <v>29459.43</v>
      </c>
    </row>
    <row r="9" spans="1:9" x14ac:dyDescent="0.2">
      <c r="A9" s="41" t="s">
        <v>179</v>
      </c>
      <c r="B9" s="86">
        <f>1550*11/1.07</f>
        <v>15934.579439252335</v>
      </c>
      <c r="C9" s="41"/>
      <c r="D9" s="86"/>
      <c r="G9" s="89">
        <f>I6/G6</f>
        <v>-3.8941428800501718E-3</v>
      </c>
    </row>
    <row r="10" spans="1:9" x14ac:dyDescent="0.2">
      <c r="A10" s="41" t="s">
        <v>16</v>
      </c>
      <c r="B10" s="86">
        <f>SUM(B2:B9)</f>
        <v>172995.99065420558</v>
      </c>
      <c r="C10" s="41" t="s">
        <v>16</v>
      </c>
      <c r="D10" s="86">
        <f>SUM(D2:D9)</f>
        <v>1093272.5141121494</v>
      </c>
    </row>
    <row r="14" spans="1:9" x14ac:dyDescent="0.2">
      <c r="B14" s="85" t="s">
        <v>181</v>
      </c>
      <c r="C14" s="74">
        <f>1309308-D10</f>
        <v>216035.48588785063</v>
      </c>
    </row>
    <row r="15" spans="1:9" x14ac:dyDescent="0.2">
      <c r="B15" s="85" t="s">
        <v>182</v>
      </c>
      <c r="C15" s="89">
        <f>C14/1309308</f>
        <v>0.16499974481775917</v>
      </c>
    </row>
    <row r="16" spans="1:9" x14ac:dyDescent="0.2">
      <c r="B16" s="85" t="s">
        <v>184</v>
      </c>
      <c r="C16" s="84">
        <f>B10/C15</f>
        <v>1048462.1709280715</v>
      </c>
      <c r="F16" s="88"/>
    </row>
    <row r="17" spans="2:6" x14ac:dyDescent="0.2">
      <c r="B17" s="85" t="s">
        <v>185</v>
      </c>
      <c r="C17" s="88">
        <f>C16/64/1.07</f>
        <v>15310.487309113192</v>
      </c>
      <c r="D17" s="85" t="s">
        <v>186</v>
      </c>
    </row>
    <row r="18" spans="2:6" x14ac:dyDescent="0.2">
      <c r="C18">
        <f>C17/(52*11/12)</f>
        <v>321.19903445692012</v>
      </c>
      <c r="D18" s="85" t="s">
        <v>187</v>
      </c>
      <c r="F18" s="74"/>
    </row>
    <row r="19" spans="2:6" x14ac:dyDescent="0.2">
      <c r="B19" s="85" t="s">
        <v>188</v>
      </c>
      <c r="C19" s="88">
        <f>(C16/1309308)*330</f>
        <v>264.25601646538752</v>
      </c>
      <c r="D19" s="85" t="s">
        <v>189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BCE41-BAEC-064E-962A-1D1B88C77378}">
  <dimension ref="A1:E11"/>
  <sheetViews>
    <sheetView zoomScale="185" workbookViewId="0">
      <selection activeCell="B9" sqref="B9"/>
    </sheetView>
  </sheetViews>
  <sheetFormatPr baseColWidth="10" defaultRowHeight="16" x14ac:dyDescent="0.2"/>
  <cols>
    <col min="2" max="2" width="19.83203125" customWidth="1"/>
    <col min="3" max="3" width="12.6640625" customWidth="1"/>
    <col min="4" max="4" width="19.83203125" customWidth="1"/>
  </cols>
  <sheetData>
    <row r="1" spans="1:5" x14ac:dyDescent="0.2">
      <c r="A1" s="17"/>
      <c r="B1" s="63" t="s">
        <v>200</v>
      </c>
      <c r="C1" s="17"/>
      <c r="D1" s="63" t="s">
        <v>201</v>
      </c>
      <c r="E1" s="17"/>
    </row>
    <row r="2" spans="1:5" x14ac:dyDescent="0.2">
      <c r="A2" s="63" t="s">
        <v>190</v>
      </c>
      <c r="B2" s="65" t="s">
        <v>199</v>
      </c>
      <c r="C2" s="63" t="s">
        <v>183</v>
      </c>
      <c r="D2" s="63" t="s">
        <v>199</v>
      </c>
      <c r="E2" s="63" t="s">
        <v>183</v>
      </c>
    </row>
    <row r="3" spans="1:5" x14ac:dyDescent="0.2">
      <c r="A3" s="17" t="s">
        <v>191</v>
      </c>
      <c r="B3" s="90">
        <f>250*18500</f>
        <v>4625000</v>
      </c>
      <c r="C3" s="91">
        <v>1</v>
      </c>
      <c r="D3" s="95">
        <f>299*10000</f>
        <v>2990000</v>
      </c>
      <c r="E3" s="91">
        <v>1</v>
      </c>
    </row>
    <row r="4" spans="1:5" x14ac:dyDescent="0.2">
      <c r="A4" s="17" t="s">
        <v>193</v>
      </c>
      <c r="B4" s="90">
        <f>3820000</f>
        <v>3820000</v>
      </c>
      <c r="C4" s="93">
        <f>B4/B3</f>
        <v>0.82594594594594595</v>
      </c>
      <c r="D4" s="95">
        <v>2400000</v>
      </c>
      <c r="E4" s="93">
        <f>D4/D3</f>
        <v>0.80267558528428096</v>
      </c>
    </row>
    <row r="5" spans="1:5" x14ac:dyDescent="0.2">
      <c r="A5" s="17" t="s">
        <v>192</v>
      </c>
      <c r="B5" s="90">
        <f>B3-B4</f>
        <v>805000</v>
      </c>
      <c r="C5" s="94">
        <f>C3-C4</f>
        <v>0.17405405405405405</v>
      </c>
      <c r="D5" s="90">
        <f>D3-D4</f>
        <v>590000</v>
      </c>
      <c r="E5" s="94">
        <f>E3-E4</f>
        <v>0.19732441471571904</v>
      </c>
    </row>
    <row r="6" spans="1:5" x14ac:dyDescent="0.2">
      <c r="A6" s="17" t="s">
        <v>194</v>
      </c>
      <c r="B6" s="90">
        <f>659000</f>
        <v>659000</v>
      </c>
      <c r="C6" s="92" t="s">
        <v>197</v>
      </c>
      <c r="D6" s="90">
        <f>400000+50000</f>
        <v>450000</v>
      </c>
      <c r="E6" s="92" t="s">
        <v>197</v>
      </c>
    </row>
    <row r="7" spans="1:5" x14ac:dyDescent="0.2">
      <c r="A7" s="17" t="s">
        <v>195</v>
      </c>
      <c r="B7" s="90">
        <f>B5-B6</f>
        <v>146000</v>
      </c>
      <c r="C7" s="92" t="s">
        <v>196</v>
      </c>
      <c r="D7" s="90">
        <f>D5-D6</f>
        <v>140000</v>
      </c>
      <c r="E7" s="92" t="s">
        <v>196</v>
      </c>
    </row>
    <row r="9" spans="1:5" x14ac:dyDescent="0.2">
      <c r="A9" t="s">
        <v>202</v>
      </c>
      <c r="B9" s="74">
        <f>B6/C5</f>
        <v>3786180.1242236025</v>
      </c>
      <c r="D9" s="74">
        <f>D6/0.1973</f>
        <v>2280790.6741003548</v>
      </c>
    </row>
    <row r="10" spans="1:5" x14ac:dyDescent="0.2">
      <c r="A10" t="s">
        <v>203</v>
      </c>
      <c r="B10" s="88">
        <f>B9/250</f>
        <v>15144.72049689441</v>
      </c>
      <c r="D10" s="88">
        <f>D9/299</f>
        <v>7628.0624551851333</v>
      </c>
    </row>
    <row r="11" spans="1:5" x14ac:dyDescent="0.2">
      <c r="A11" t="s">
        <v>188</v>
      </c>
      <c r="B11" s="96">
        <f>B9/B3*360</f>
        <v>294.70807453416148</v>
      </c>
      <c r="D11" s="96">
        <f>D9/D3*360</f>
        <v>274.61024838666481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53608-4E47-7740-AB90-E9DB9EF079BA}">
  <dimension ref="A1:H24"/>
  <sheetViews>
    <sheetView zoomScale="150" workbookViewId="0">
      <selection activeCell="F14" sqref="F14"/>
    </sheetView>
  </sheetViews>
  <sheetFormatPr baseColWidth="10" defaultRowHeight="16" x14ac:dyDescent="0.2"/>
  <cols>
    <col min="1" max="1" width="17.83203125" customWidth="1"/>
    <col min="2" max="2" width="16.6640625" customWidth="1"/>
    <col min="3" max="3" width="17.83203125" customWidth="1"/>
    <col min="4" max="4" width="16.6640625" customWidth="1"/>
    <col min="7" max="7" width="17.5" customWidth="1"/>
    <col min="9" max="9" width="17.5" customWidth="1"/>
  </cols>
  <sheetData>
    <row r="1" spans="1:8" x14ac:dyDescent="0.2">
      <c r="A1" s="240" t="s">
        <v>171</v>
      </c>
      <c r="B1" s="240"/>
      <c r="C1" s="240" t="s">
        <v>172</v>
      </c>
      <c r="D1" s="240"/>
      <c r="F1" s="63" t="s">
        <v>190</v>
      </c>
      <c r="G1" s="65" t="s">
        <v>168</v>
      </c>
      <c r="H1" s="63" t="s">
        <v>183</v>
      </c>
    </row>
    <row r="2" spans="1:8" x14ac:dyDescent="0.2">
      <c r="A2" s="41" t="s">
        <v>24</v>
      </c>
      <c r="B2" s="86">
        <f>25000/5</f>
        <v>5000</v>
      </c>
      <c r="C2" s="87" t="s">
        <v>204</v>
      </c>
      <c r="D2" s="86">
        <f>203500*0.015*1.45</f>
        <v>4426.125</v>
      </c>
      <c r="F2" s="17" t="s">
        <v>191</v>
      </c>
      <c r="G2" s="90">
        <f>C14</f>
        <v>203500</v>
      </c>
      <c r="H2" s="91">
        <v>1</v>
      </c>
    </row>
    <row r="3" spans="1:8" x14ac:dyDescent="0.2">
      <c r="A3" s="41" t="s">
        <v>206</v>
      </c>
      <c r="B3" s="86">
        <f>3500/4</f>
        <v>875</v>
      </c>
      <c r="C3" s="41" t="s">
        <v>205</v>
      </c>
      <c r="D3" s="86">
        <f>203500*0.025*1.45</f>
        <v>7376.875</v>
      </c>
      <c r="F3" s="17" t="s">
        <v>193</v>
      </c>
      <c r="G3" s="90">
        <f>D11</f>
        <v>83303</v>
      </c>
      <c r="H3" s="93">
        <f>G3/G2</f>
        <v>0.40935135135135137</v>
      </c>
    </row>
    <row r="4" spans="1:8" x14ac:dyDescent="0.2">
      <c r="A4" s="41" t="s">
        <v>207</v>
      </c>
      <c r="B4" s="86">
        <f>3100/3</f>
        <v>1033.3333333333333</v>
      </c>
      <c r="C4" s="41" t="s">
        <v>212</v>
      </c>
      <c r="D4" s="86">
        <f>100*11*65</f>
        <v>71500</v>
      </c>
      <c r="F4" s="17" t="s">
        <v>192</v>
      </c>
      <c r="G4" s="90">
        <f>G2-G3</f>
        <v>120197</v>
      </c>
      <c r="H4" s="94">
        <f>H2-H3</f>
        <v>0.59064864864864863</v>
      </c>
    </row>
    <row r="5" spans="1:8" x14ac:dyDescent="0.2">
      <c r="A5" s="41" t="s">
        <v>208</v>
      </c>
      <c r="B5" s="86">
        <f>4350</f>
        <v>4350</v>
      </c>
      <c r="C5" s="41"/>
      <c r="D5" s="86"/>
      <c r="F5" s="17" t="s">
        <v>194</v>
      </c>
      <c r="G5" s="90">
        <f>B11</f>
        <v>113985.83333333333</v>
      </c>
      <c r="H5" s="92" t="s">
        <v>197</v>
      </c>
    </row>
    <row r="6" spans="1:8" x14ac:dyDescent="0.2">
      <c r="A6" s="41" t="s">
        <v>209</v>
      </c>
      <c r="B6" s="86">
        <f>600*11</f>
        <v>6600</v>
      </c>
      <c r="C6" s="41"/>
      <c r="D6" s="86"/>
      <c r="F6" s="17" t="s">
        <v>195</v>
      </c>
      <c r="G6" s="90">
        <f>G4-G5</f>
        <v>6211.1666666666715</v>
      </c>
      <c r="H6" s="92" t="s">
        <v>196</v>
      </c>
    </row>
    <row r="7" spans="1:8" x14ac:dyDescent="0.2">
      <c r="A7" s="41" t="s">
        <v>210</v>
      </c>
      <c r="B7" s="86">
        <f>2600*13*1.45</f>
        <v>49010</v>
      </c>
      <c r="C7" s="41"/>
      <c r="D7" s="86"/>
      <c r="G7" s="84"/>
    </row>
    <row r="8" spans="1:8" x14ac:dyDescent="0.2">
      <c r="A8" s="41" t="s">
        <v>211</v>
      </c>
      <c r="B8" s="86">
        <v>1700</v>
      </c>
      <c r="C8" s="41"/>
      <c r="D8" s="86"/>
      <c r="G8" s="84"/>
    </row>
    <row r="9" spans="1:8" x14ac:dyDescent="0.2">
      <c r="A9" s="41" t="s">
        <v>204</v>
      </c>
      <c r="B9" s="86">
        <f>1550*13*1.45</f>
        <v>29217.5</v>
      </c>
      <c r="C9" s="41"/>
      <c r="D9" s="86"/>
      <c r="G9" s="89"/>
    </row>
    <row r="10" spans="1:8" x14ac:dyDescent="0.2">
      <c r="A10" s="41" t="s">
        <v>152</v>
      </c>
      <c r="B10" s="86">
        <f>1350*12</f>
        <v>16200</v>
      </c>
      <c r="C10" s="41"/>
      <c r="D10" s="86"/>
      <c r="G10" s="89"/>
    </row>
    <row r="11" spans="1:8" x14ac:dyDescent="0.2">
      <c r="A11" s="41" t="s">
        <v>16</v>
      </c>
      <c r="B11" s="86">
        <f>SUM(B2:B10)</f>
        <v>113985.83333333333</v>
      </c>
      <c r="C11" s="41" t="s">
        <v>16</v>
      </c>
      <c r="D11" s="86">
        <f>SUM(D2:D10)</f>
        <v>83303</v>
      </c>
      <c r="G11" s="84"/>
    </row>
    <row r="12" spans="1:8" x14ac:dyDescent="0.2">
      <c r="B12" s="85"/>
      <c r="D12" s="85"/>
      <c r="G12" s="84"/>
    </row>
    <row r="13" spans="1:8" x14ac:dyDescent="0.2">
      <c r="B13" s="85"/>
      <c r="D13" s="85"/>
      <c r="G13" s="84"/>
    </row>
    <row r="14" spans="1:8" x14ac:dyDescent="0.2">
      <c r="B14" s="85" t="s">
        <v>214</v>
      </c>
      <c r="C14" s="84">
        <v>203500</v>
      </c>
      <c r="D14" s="85"/>
      <c r="G14" s="84"/>
    </row>
    <row r="15" spans="1:8" x14ac:dyDescent="0.2">
      <c r="B15" s="85" t="s">
        <v>213</v>
      </c>
      <c r="C15" s="74">
        <f>C14-D11</f>
        <v>120197</v>
      </c>
      <c r="D15" s="85"/>
      <c r="G15" s="84"/>
    </row>
    <row r="16" spans="1:8" x14ac:dyDescent="0.2">
      <c r="B16" s="85" t="s">
        <v>182</v>
      </c>
      <c r="C16" s="89">
        <f>C15/C14</f>
        <v>0.59064864864864863</v>
      </c>
      <c r="D16" s="85"/>
      <c r="G16" s="84"/>
    </row>
    <row r="17" spans="2:7" x14ac:dyDescent="0.2">
      <c r="B17" s="85" t="s">
        <v>184</v>
      </c>
      <c r="C17" s="84">
        <f>B11/C16</f>
        <v>192984.16003172568</v>
      </c>
      <c r="D17" s="85"/>
      <c r="F17" s="88"/>
      <c r="G17" s="84"/>
    </row>
    <row r="18" spans="2:7" x14ac:dyDescent="0.2">
      <c r="B18" s="85" t="s">
        <v>185</v>
      </c>
      <c r="C18" s="88">
        <f>C17/185</f>
        <v>1043.1576217931117</v>
      </c>
      <c r="D18" s="85" t="s">
        <v>186</v>
      </c>
      <c r="G18" s="84"/>
    </row>
    <row r="19" spans="2:7" x14ac:dyDescent="0.2">
      <c r="B19" s="85"/>
      <c r="C19" s="88">
        <f>C18/11</f>
        <v>94.83251107210107</v>
      </c>
      <c r="D19" t="s">
        <v>215</v>
      </c>
      <c r="F19" s="74"/>
      <c r="G19" s="84"/>
    </row>
    <row r="20" spans="2:7" x14ac:dyDescent="0.2">
      <c r="B20" s="85"/>
      <c r="C20">
        <f>C18/(52*11/12)</f>
        <v>21.884425632023323</v>
      </c>
      <c r="D20" s="85" t="s">
        <v>187</v>
      </c>
      <c r="F20" s="74"/>
      <c r="G20" s="84"/>
    </row>
    <row r="21" spans="2:7" x14ac:dyDescent="0.2">
      <c r="B21" s="85" t="s">
        <v>188</v>
      </c>
      <c r="C21" s="88">
        <f>(C17/C14)*330</f>
        <v>312.94728653793351</v>
      </c>
      <c r="D21" s="85"/>
      <c r="G21" s="84"/>
    </row>
    <row r="22" spans="2:7" x14ac:dyDescent="0.2">
      <c r="B22" s="85"/>
      <c r="C22">
        <f>C21/30</f>
        <v>10.431576217931116</v>
      </c>
      <c r="D22" s="85"/>
      <c r="G22" s="84"/>
    </row>
    <row r="23" spans="2:7" x14ac:dyDescent="0.2">
      <c r="B23" s="85"/>
      <c r="D23" s="85"/>
      <c r="G23" s="84"/>
    </row>
    <row r="24" spans="2:7" x14ac:dyDescent="0.2">
      <c r="B24" s="85"/>
      <c r="D24" s="85"/>
      <c r="G24" s="84"/>
    </row>
  </sheetData>
  <mergeCells count="2">
    <mergeCell ref="A1:B1"/>
    <mergeCell ref="C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B911D-EC9C-0E4D-BC4D-222E89172D83}">
  <dimension ref="A1:B10"/>
  <sheetViews>
    <sheetView zoomScale="163" workbookViewId="0">
      <selection activeCell="E4" sqref="E4"/>
    </sheetView>
  </sheetViews>
  <sheetFormatPr baseColWidth="10" defaultRowHeight="16" x14ac:dyDescent="0.2"/>
  <cols>
    <col min="2" max="2" width="14" style="84" bestFit="1" customWidth="1"/>
  </cols>
  <sheetData>
    <row r="1" spans="1:2" x14ac:dyDescent="0.2">
      <c r="A1" t="s">
        <v>191</v>
      </c>
      <c r="B1" s="84">
        <f>10000*500</f>
        <v>5000000</v>
      </c>
    </row>
    <row r="2" spans="1:2" x14ac:dyDescent="0.2">
      <c r="A2" t="s">
        <v>244</v>
      </c>
      <c r="B2" s="84">
        <f>10000*250 + 50*10000</f>
        <v>3000000</v>
      </c>
    </row>
    <row r="3" spans="1:2" x14ac:dyDescent="0.2">
      <c r="A3" t="s">
        <v>192</v>
      </c>
      <c r="B3" s="84">
        <f>B1-B2</f>
        <v>2000000</v>
      </c>
    </row>
    <row r="4" spans="1:2" x14ac:dyDescent="0.2">
      <c r="A4" t="s">
        <v>245</v>
      </c>
      <c r="B4" s="84">
        <v>1000000</v>
      </c>
    </row>
    <row r="9" spans="1:2" x14ac:dyDescent="0.2">
      <c r="A9" t="s">
        <v>184</v>
      </c>
      <c r="B9" s="84">
        <f>B4/((B3/B1)*100)</f>
        <v>25000</v>
      </c>
    </row>
    <row r="10" spans="1:2" x14ac:dyDescent="0.2">
      <c r="A10" t="s">
        <v>188</v>
      </c>
      <c r="B10" s="111">
        <f>B9/B1*360</f>
        <v>1.8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BBC0E-A6FC-3645-AB99-FB468BEBFEE4}">
  <dimension ref="A1:N24"/>
  <sheetViews>
    <sheetView zoomScale="142" workbookViewId="0">
      <selection activeCell="D15" sqref="D15"/>
    </sheetView>
  </sheetViews>
  <sheetFormatPr baseColWidth="10" defaultRowHeight="16" x14ac:dyDescent="0.2"/>
  <cols>
    <col min="1" max="1" width="27.33203125" customWidth="1"/>
    <col min="2" max="4" width="17.1640625" customWidth="1"/>
    <col min="6" max="6" width="12.1640625" customWidth="1"/>
    <col min="7" max="7" width="18.6640625" customWidth="1"/>
    <col min="9" max="9" width="18.6640625" customWidth="1"/>
    <col min="11" max="11" width="18.6640625" customWidth="1"/>
    <col min="13" max="13" width="18.6640625" customWidth="1"/>
  </cols>
  <sheetData>
    <row r="1" spans="1:14" ht="17" thickBot="1" x14ac:dyDescent="0.25">
      <c r="A1" s="112" t="s">
        <v>246</v>
      </c>
      <c r="B1" s="113" t="s">
        <v>247</v>
      </c>
      <c r="C1" s="113" t="s">
        <v>248</v>
      </c>
      <c r="D1" s="113" t="s">
        <v>249</v>
      </c>
      <c r="F1" s="17"/>
      <c r="G1" s="63" t="s">
        <v>278</v>
      </c>
      <c r="H1" s="17"/>
      <c r="I1" s="63" t="s">
        <v>279</v>
      </c>
      <c r="J1" s="17"/>
      <c r="K1" s="63" t="s">
        <v>280</v>
      </c>
      <c r="L1" s="17"/>
      <c r="M1" s="63" t="s">
        <v>281</v>
      </c>
      <c r="N1" s="17"/>
    </row>
    <row r="2" spans="1:14" ht="17" thickBot="1" x14ac:dyDescent="0.25">
      <c r="A2" s="117" t="s">
        <v>250</v>
      </c>
      <c r="B2" s="115">
        <v>500</v>
      </c>
      <c r="C2" s="115">
        <v>400</v>
      </c>
      <c r="D2" s="115">
        <v>1000</v>
      </c>
      <c r="F2" s="63" t="s">
        <v>190</v>
      </c>
      <c r="G2" s="65" t="s">
        <v>199</v>
      </c>
      <c r="H2" s="63" t="s">
        <v>183</v>
      </c>
      <c r="I2" s="63" t="s">
        <v>199</v>
      </c>
      <c r="J2" s="63" t="s">
        <v>183</v>
      </c>
      <c r="K2" s="63" t="s">
        <v>199</v>
      </c>
      <c r="L2" s="63" t="s">
        <v>183</v>
      </c>
      <c r="M2" s="63" t="s">
        <v>199</v>
      </c>
      <c r="N2" s="63" t="s">
        <v>183</v>
      </c>
    </row>
    <row r="3" spans="1:14" ht="17" thickBot="1" x14ac:dyDescent="0.25">
      <c r="A3" s="117" t="s">
        <v>251</v>
      </c>
      <c r="B3" s="114">
        <v>800</v>
      </c>
      <c r="C3" s="114">
        <v>375</v>
      </c>
      <c r="D3" s="114">
        <v>1800</v>
      </c>
      <c r="F3" s="17" t="s">
        <v>191</v>
      </c>
      <c r="G3" s="90">
        <f>B2*B3</f>
        <v>400000</v>
      </c>
      <c r="H3" s="91">
        <v>1</v>
      </c>
      <c r="I3" s="95">
        <f>C2*C3</f>
        <v>150000</v>
      </c>
      <c r="J3" s="91">
        <v>1</v>
      </c>
      <c r="K3" s="95">
        <f>D2*D3</f>
        <v>1800000</v>
      </c>
      <c r="L3" s="91">
        <v>1</v>
      </c>
      <c r="M3" s="95">
        <f>G3+I3+K3</f>
        <v>2350000</v>
      </c>
      <c r="N3" s="91">
        <v>1</v>
      </c>
    </row>
    <row r="4" spans="1:14" ht="17" thickBot="1" x14ac:dyDescent="0.25">
      <c r="A4" s="117" t="s">
        <v>252</v>
      </c>
      <c r="B4" s="116">
        <v>250</v>
      </c>
      <c r="C4" s="116">
        <v>320</v>
      </c>
      <c r="D4" s="116">
        <v>750</v>
      </c>
      <c r="F4" s="17" t="s">
        <v>193</v>
      </c>
      <c r="G4" s="90">
        <f>(B4+B5)*B3</f>
        <v>240000</v>
      </c>
      <c r="H4" s="93">
        <f>G4/G3</f>
        <v>0.6</v>
      </c>
      <c r="I4" s="95">
        <f>(C4+C5)*C3</f>
        <v>127500</v>
      </c>
      <c r="J4" s="93">
        <f>I4/I3</f>
        <v>0.85</v>
      </c>
      <c r="K4" s="95">
        <f>(D4+D5)*D3</f>
        <v>1566000</v>
      </c>
      <c r="L4" s="93">
        <f>K4/K3</f>
        <v>0.87</v>
      </c>
      <c r="M4" s="95">
        <f t="shared" ref="M4:M5" si="0">G4+I4+K4</f>
        <v>1933500</v>
      </c>
      <c r="N4" s="93">
        <f>M4/M3</f>
        <v>0.82276595744680847</v>
      </c>
    </row>
    <row r="5" spans="1:14" ht="17" thickBot="1" x14ac:dyDescent="0.25">
      <c r="A5" s="117" t="s">
        <v>253</v>
      </c>
      <c r="B5" s="116">
        <v>50</v>
      </c>
      <c r="C5" s="116">
        <v>20</v>
      </c>
      <c r="D5" s="116">
        <v>120</v>
      </c>
      <c r="F5" s="17" t="s">
        <v>192</v>
      </c>
      <c r="G5" s="90">
        <f t="shared" ref="G5:L5" si="1">G3-G4</f>
        <v>160000</v>
      </c>
      <c r="H5" s="94">
        <f t="shared" si="1"/>
        <v>0.4</v>
      </c>
      <c r="I5" s="90">
        <f t="shared" si="1"/>
        <v>22500</v>
      </c>
      <c r="J5" s="94">
        <f t="shared" si="1"/>
        <v>0.15000000000000002</v>
      </c>
      <c r="K5" s="90">
        <f t="shared" si="1"/>
        <v>234000</v>
      </c>
      <c r="L5" s="94">
        <f t="shared" si="1"/>
        <v>0.13</v>
      </c>
      <c r="M5" s="95">
        <f t="shared" si="0"/>
        <v>416500</v>
      </c>
      <c r="N5" s="94">
        <f>N3-N4</f>
        <v>0.17723404255319153</v>
      </c>
    </row>
    <row r="6" spans="1:14" ht="17" thickBot="1" x14ac:dyDescent="0.25">
      <c r="A6" s="117" t="s">
        <v>254</v>
      </c>
      <c r="B6" s="241">
        <v>144000</v>
      </c>
      <c r="C6" s="242"/>
      <c r="D6" s="243"/>
      <c r="F6" s="17" t="s">
        <v>194</v>
      </c>
      <c r="G6" s="90"/>
      <c r="H6" s="92" t="s">
        <v>197</v>
      </c>
      <c r="I6" s="90"/>
      <c r="J6" s="92" t="s">
        <v>197</v>
      </c>
      <c r="K6" s="90"/>
      <c r="L6" s="92" t="s">
        <v>197</v>
      </c>
      <c r="M6" s="90">
        <f>B6</f>
        <v>144000</v>
      </c>
      <c r="N6" s="92" t="s">
        <v>197</v>
      </c>
    </row>
    <row r="7" spans="1:14" x14ac:dyDescent="0.2">
      <c r="A7" t="s">
        <v>191</v>
      </c>
      <c r="B7" s="52">
        <f>B2*B3</f>
        <v>400000</v>
      </c>
      <c r="C7" s="52">
        <f t="shared" ref="C7:D7" si="2">C2*C3</f>
        <v>150000</v>
      </c>
      <c r="D7" s="52">
        <f t="shared" si="2"/>
        <v>1800000</v>
      </c>
      <c r="F7" s="17" t="s">
        <v>195</v>
      </c>
      <c r="G7" s="90">
        <f>G5-G6</f>
        <v>160000</v>
      </c>
      <c r="H7" s="92" t="s">
        <v>196</v>
      </c>
      <c r="I7" s="90">
        <f>I5-I6</f>
        <v>22500</v>
      </c>
      <c r="J7" s="92" t="s">
        <v>196</v>
      </c>
      <c r="K7" s="90">
        <f>K5-K6</f>
        <v>234000</v>
      </c>
      <c r="L7" s="92" t="s">
        <v>196</v>
      </c>
      <c r="M7" s="90">
        <f>M5-M6</f>
        <v>272500</v>
      </c>
      <c r="N7" s="92" t="s">
        <v>196</v>
      </c>
    </row>
    <row r="8" spans="1:14" x14ac:dyDescent="0.2">
      <c r="A8" t="s">
        <v>244</v>
      </c>
      <c r="B8" s="74">
        <f>(B4+B5)*B3</f>
        <v>240000</v>
      </c>
      <c r="C8" s="74">
        <f t="shared" ref="C8" si="3">(C4+C5)*C3</f>
        <v>127500</v>
      </c>
      <c r="D8" s="74">
        <f>(D4+D5)*D3</f>
        <v>1566000</v>
      </c>
    </row>
    <row r="9" spans="1:14" x14ac:dyDescent="0.2">
      <c r="A9" t="s">
        <v>192</v>
      </c>
      <c r="B9" s="52">
        <f>B7-B8</f>
        <v>160000</v>
      </c>
      <c r="C9" s="52">
        <f t="shared" ref="C9:D9" si="4">C7-C8</f>
        <v>22500</v>
      </c>
      <c r="D9" s="52">
        <f t="shared" si="4"/>
        <v>234000</v>
      </c>
    </row>
    <row r="10" spans="1:14" x14ac:dyDescent="0.2">
      <c r="A10" t="s">
        <v>245</v>
      </c>
    </row>
    <row r="16" spans="1:14" x14ac:dyDescent="0.2">
      <c r="A16" t="s">
        <v>255</v>
      </c>
      <c r="B16" s="52">
        <f>$B$2*$B$3+$C$2*$C$3+$D$2*$D$3</f>
        <v>2350000</v>
      </c>
      <c r="C16" s="52"/>
    </row>
    <row r="17" spans="1:5" x14ac:dyDescent="0.2">
      <c r="A17" t="s">
        <v>244</v>
      </c>
      <c r="B17" s="74">
        <f>SUM($B$4:$B$5)*$B$3+SUM($C$4:$C$5)*$C$3+SUM($D$4:$D$5)*$D$3</f>
        <v>1933500</v>
      </c>
      <c r="C17" s="74"/>
    </row>
    <row r="19" spans="1:5" x14ac:dyDescent="0.2">
      <c r="A19" t="s">
        <v>213</v>
      </c>
      <c r="B19" s="52">
        <f>B16-B17</f>
        <v>416500</v>
      </c>
      <c r="C19" s="52"/>
    </row>
    <row r="20" spans="1:5" x14ac:dyDescent="0.2">
      <c r="A20" t="s">
        <v>243</v>
      </c>
      <c r="B20" s="89">
        <f>B19/B16</f>
        <v>0.1772340425531915</v>
      </c>
      <c r="C20" s="89"/>
    </row>
    <row r="21" spans="1:5" x14ac:dyDescent="0.2">
      <c r="A21" t="s">
        <v>184</v>
      </c>
      <c r="B21" s="118">
        <f>$B$6/B20</f>
        <v>812484.993997599</v>
      </c>
      <c r="C21" s="84">
        <f>($B$6*B16)/(B19)</f>
        <v>812484.993997599</v>
      </c>
      <c r="D21" t="s">
        <v>282</v>
      </c>
      <c r="E21" t="s">
        <v>283</v>
      </c>
    </row>
    <row r="22" spans="1:5" x14ac:dyDescent="0.2">
      <c r="A22" t="s">
        <v>256</v>
      </c>
      <c r="B22" s="88">
        <f>B21/(B16/(SUM(B3:D3)))</f>
        <v>1028.5714285714284</v>
      </c>
      <c r="C22" s="52"/>
    </row>
    <row r="23" spans="1:5" x14ac:dyDescent="0.2">
      <c r="A23" t="s">
        <v>257</v>
      </c>
      <c r="B23" s="119">
        <f>B22/12</f>
        <v>85.714285714285708</v>
      </c>
      <c r="C23" s="84"/>
    </row>
    <row r="24" spans="1:5" x14ac:dyDescent="0.2">
      <c r="D24" s="52"/>
    </row>
  </sheetData>
  <mergeCells count="1">
    <mergeCell ref="B6:D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3B6F3-4043-C947-B64B-F7842E571D37}">
  <dimension ref="A1:O143"/>
  <sheetViews>
    <sheetView tabSelected="1" zoomScale="113" workbookViewId="0">
      <selection activeCell="H23" sqref="H23"/>
    </sheetView>
  </sheetViews>
  <sheetFormatPr baseColWidth="10" defaultRowHeight="16" x14ac:dyDescent="0.2"/>
  <cols>
    <col min="1" max="1" width="17" customWidth="1"/>
    <col min="2" max="2" width="16.5" style="84" customWidth="1"/>
    <col min="4" max="4" width="12.6640625" bestFit="1" customWidth="1"/>
    <col min="5" max="5" width="14" customWidth="1"/>
    <col min="6" max="6" width="12.5" bestFit="1" customWidth="1"/>
    <col min="9" max="9" width="23.1640625" customWidth="1"/>
    <col min="10" max="10" width="19.33203125" customWidth="1"/>
    <col min="11" max="11" width="12.6640625" customWidth="1"/>
    <col min="12" max="12" width="16.5" customWidth="1"/>
    <col min="15" max="15" width="12.6640625" customWidth="1"/>
  </cols>
  <sheetData>
    <row r="1" spans="1:15" s="120" customFormat="1" x14ac:dyDescent="0.2">
      <c r="A1" s="63" t="s">
        <v>258</v>
      </c>
      <c r="B1" s="65" t="s">
        <v>168</v>
      </c>
      <c r="I1" s="240" t="s">
        <v>171</v>
      </c>
      <c r="J1" s="240"/>
      <c r="K1" s="240" t="s">
        <v>172</v>
      </c>
      <c r="L1" s="240"/>
      <c r="M1"/>
    </row>
    <row r="2" spans="1:15" x14ac:dyDescent="0.2">
      <c r="A2" s="17" t="s">
        <v>259</v>
      </c>
      <c r="B2" s="90">
        <v>85000</v>
      </c>
      <c r="I2" s="41" t="s">
        <v>284</v>
      </c>
      <c r="J2" s="86">
        <f>B2/10+B3/10</f>
        <v>31500</v>
      </c>
      <c r="K2" s="87"/>
      <c r="L2" s="86"/>
    </row>
    <row r="3" spans="1:15" x14ac:dyDescent="0.2">
      <c r="A3" s="17" t="s">
        <v>260</v>
      </c>
      <c r="B3" s="90">
        <v>230000</v>
      </c>
      <c r="C3" t="s">
        <v>275</v>
      </c>
      <c r="I3" s="41" t="s">
        <v>261</v>
      </c>
      <c r="J3" s="86">
        <f>B4</f>
        <v>1530</v>
      </c>
      <c r="K3" s="41"/>
      <c r="L3" s="86"/>
    </row>
    <row r="4" spans="1:15" x14ac:dyDescent="0.2">
      <c r="A4" s="17" t="s">
        <v>261</v>
      </c>
      <c r="B4" s="90">
        <v>1530</v>
      </c>
      <c r="C4" t="s">
        <v>186</v>
      </c>
      <c r="I4" s="41" t="s">
        <v>205</v>
      </c>
      <c r="J4" s="86">
        <f>B5</f>
        <v>27000</v>
      </c>
      <c r="K4" s="41" t="s">
        <v>286</v>
      </c>
      <c r="L4" s="86">
        <f>B19*0.04*1.5</f>
        <v>22464</v>
      </c>
    </row>
    <row r="5" spans="1:15" x14ac:dyDescent="0.2">
      <c r="A5" s="17" t="s">
        <v>205</v>
      </c>
      <c r="B5" s="90">
        <f>1500*12*1.5</f>
        <v>27000</v>
      </c>
      <c r="C5" t="s">
        <v>269</v>
      </c>
      <c r="I5" s="41" t="s">
        <v>265</v>
      </c>
      <c r="J5" s="86">
        <f t="shared" ref="J5:J11" si="0">B6</f>
        <v>43200</v>
      </c>
      <c r="K5" s="41"/>
      <c r="L5" s="86"/>
    </row>
    <row r="6" spans="1:15" x14ac:dyDescent="0.2">
      <c r="A6" s="17" t="s">
        <v>265</v>
      </c>
      <c r="B6" s="90">
        <f>2400*12*1.5</f>
        <v>43200</v>
      </c>
      <c r="E6" t="s">
        <v>276</v>
      </c>
      <c r="F6">
        <f>B15*0.8</f>
        <v>72</v>
      </c>
      <c r="I6" s="41" t="s">
        <v>266</v>
      </c>
      <c r="J6" s="86">
        <f t="shared" si="0"/>
        <v>19260</v>
      </c>
      <c r="K6" s="41"/>
      <c r="L6" s="86"/>
    </row>
    <row r="7" spans="1:15" x14ac:dyDescent="0.2">
      <c r="A7" s="17" t="s">
        <v>266</v>
      </c>
      <c r="B7" s="90">
        <f>1070*12*1.5</f>
        <v>19260</v>
      </c>
      <c r="E7" t="s">
        <v>214</v>
      </c>
      <c r="F7" s="84">
        <f>$B$16*F6*$B$14</f>
        <v>299520</v>
      </c>
      <c r="I7" s="41" t="s">
        <v>285</v>
      </c>
      <c r="J7" s="86">
        <f t="shared" si="0"/>
        <v>32400</v>
      </c>
      <c r="K7" s="41" t="s">
        <v>286</v>
      </c>
      <c r="L7" s="86">
        <f>B19*0.015*1.5</f>
        <v>8424</v>
      </c>
      <c r="O7" s="84"/>
    </row>
    <row r="8" spans="1:15" x14ac:dyDescent="0.2">
      <c r="A8" s="17" t="s">
        <v>267</v>
      </c>
      <c r="B8" s="90">
        <f>900*12*2*1.5</f>
        <v>32400</v>
      </c>
      <c r="C8" t="s">
        <v>270</v>
      </c>
      <c r="E8" t="s">
        <v>244</v>
      </c>
      <c r="F8" s="84">
        <f>L13</f>
        <v>163367.99999999997</v>
      </c>
      <c r="I8" s="41" t="s">
        <v>268</v>
      </c>
      <c r="J8" s="86">
        <f t="shared" si="0"/>
        <v>9000</v>
      </c>
      <c r="K8" s="41"/>
      <c r="L8" s="86"/>
      <c r="O8" s="84"/>
    </row>
    <row r="9" spans="1:15" x14ac:dyDescent="0.2">
      <c r="A9" s="17" t="s">
        <v>268</v>
      </c>
      <c r="B9" s="90">
        <f>500*12*1.5</f>
        <v>9000</v>
      </c>
      <c r="E9" t="s">
        <v>192</v>
      </c>
      <c r="F9" s="84">
        <f>F7-F8</f>
        <v>136152.00000000003</v>
      </c>
      <c r="I9" s="17" t="s">
        <v>262</v>
      </c>
      <c r="J9" s="86">
        <f t="shared" si="0"/>
        <v>3200</v>
      </c>
      <c r="K9" s="41"/>
      <c r="L9" s="86"/>
      <c r="O9" s="89"/>
    </row>
    <row r="10" spans="1:15" x14ac:dyDescent="0.2">
      <c r="A10" s="17" t="s">
        <v>262</v>
      </c>
      <c r="B10" s="90">
        <f>300*12*(320/360)</f>
        <v>3200</v>
      </c>
      <c r="E10" t="s">
        <v>243</v>
      </c>
      <c r="F10" s="89">
        <f>F9/F7</f>
        <v>0.4545673076923078</v>
      </c>
      <c r="I10" s="17" t="s">
        <v>263</v>
      </c>
      <c r="J10" s="86">
        <f t="shared" si="0"/>
        <v>5345</v>
      </c>
      <c r="K10" s="41"/>
      <c r="L10" s="86"/>
      <c r="O10" s="89"/>
    </row>
    <row r="11" spans="1:15" x14ac:dyDescent="0.2">
      <c r="A11" s="17" t="s">
        <v>263</v>
      </c>
      <c r="B11" s="90">
        <v>5345</v>
      </c>
      <c r="E11" t="s">
        <v>184</v>
      </c>
      <c r="F11" s="84">
        <f>$E$19/F10</f>
        <v>401777.68376520352</v>
      </c>
      <c r="I11" s="17" t="s">
        <v>179</v>
      </c>
      <c r="J11" s="86">
        <f t="shared" si="0"/>
        <v>10200</v>
      </c>
      <c r="K11" s="17"/>
      <c r="L11" s="17"/>
      <c r="O11" s="84"/>
    </row>
    <row r="12" spans="1:15" x14ac:dyDescent="0.2">
      <c r="A12" s="17" t="s">
        <v>179</v>
      </c>
      <c r="B12" s="90">
        <f>850*12</f>
        <v>10200</v>
      </c>
      <c r="I12" s="17"/>
      <c r="J12" s="17"/>
      <c r="K12" s="17" t="s">
        <v>287</v>
      </c>
      <c r="L12" s="95">
        <f>B13</f>
        <v>132479.99999999997</v>
      </c>
      <c r="O12" s="84"/>
    </row>
    <row r="13" spans="1:15" x14ac:dyDescent="0.2">
      <c r="A13" s="17" t="s">
        <v>264</v>
      </c>
      <c r="B13" s="90">
        <f>4.6*B15*320</f>
        <v>132479.99999999997</v>
      </c>
      <c r="I13" s="41" t="s">
        <v>16</v>
      </c>
      <c r="J13" s="86">
        <f>SUM(J2:J12)</f>
        <v>182635</v>
      </c>
      <c r="K13" s="41" t="s">
        <v>16</v>
      </c>
      <c r="L13" s="86">
        <f>SUM(L2:L12)</f>
        <v>163367.99999999997</v>
      </c>
      <c r="O13" s="84"/>
    </row>
    <row r="14" spans="1:15" x14ac:dyDescent="0.2">
      <c r="A14" s="17" t="s">
        <v>271</v>
      </c>
      <c r="B14" s="90">
        <v>13</v>
      </c>
      <c r="J14" s="85"/>
      <c r="L14" s="85"/>
      <c r="O14" s="84"/>
    </row>
    <row r="15" spans="1:15" x14ac:dyDescent="0.2">
      <c r="A15" s="17" t="s">
        <v>272</v>
      </c>
      <c r="B15" s="121">
        <f>45*2</f>
        <v>90</v>
      </c>
      <c r="C15" t="s">
        <v>273</v>
      </c>
      <c r="J15" s="85"/>
      <c r="L15" s="85"/>
      <c r="O15" s="84"/>
    </row>
    <row r="16" spans="1:15" x14ac:dyDescent="0.2">
      <c r="A16" t="s">
        <v>274</v>
      </c>
      <c r="B16">
        <v>320</v>
      </c>
      <c r="F16" s="74"/>
      <c r="J16" s="85"/>
      <c r="K16" s="84"/>
      <c r="L16" s="85"/>
      <c r="O16" s="84"/>
    </row>
    <row r="17" spans="1:15" x14ac:dyDescent="0.2">
      <c r="B17"/>
      <c r="I17" s="63" t="s">
        <v>190</v>
      </c>
      <c r="J17" s="65" t="s">
        <v>168</v>
      </c>
      <c r="K17" s="63" t="s">
        <v>183</v>
      </c>
      <c r="L17" s="86" t="s">
        <v>290</v>
      </c>
      <c r="M17" s="63" t="s">
        <v>183</v>
      </c>
      <c r="N17" s="88"/>
      <c r="O17" s="84"/>
    </row>
    <row r="18" spans="1:15" x14ac:dyDescent="0.2">
      <c r="I18" s="17" t="s">
        <v>191</v>
      </c>
      <c r="J18" s="90">
        <f>B19</f>
        <v>374400</v>
      </c>
      <c r="K18" s="91">
        <v>1</v>
      </c>
      <c r="L18" s="86">
        <f>J18*0.8</f>
        <v>299520</v>
      </c>
      <c r="M18" s="91">
        <v>1</v>
      </c>
      <c r="O18" s="84"/>
    </row>
    <row r="19" spans="1:15" x14ac:dyDescent="0.2">
      <c r="A19" t="s">
        <v>214</v>
      </c>
      <c r="B19" s="84">
        <f>$B$16*B15*$B$14</f>
        <v>374400</v>
      </c>
      <c r="D19" t="s">
        <v>245</v>
      </c>
      <c r="E19" s="74">
        <f>B2/10+B3/10+B4+B5+B6+B7+B8+B9+B10+B11+B12</f>
        <v>182635</v>
      </c>
      <c r="I19" s="17" t="s">
        <v>193</v>
      </c>
      <c r="J19" s="90">
        <f>L13</f>
        <v>163367.99999999997</v>
      </c>
      <c r="K19" s="93">
        <f>J19/J18</f>
        <v>0.43634615384615377</v>
      </c>
      <c r="L19" s="86">
        <f>J19*0.8</f>
        <v>130694.39999999998</v>
      </c>
      <c r="M19" s="93">
        <f>L19/L18</f>
        <v>0.43634615384615377</v>
      </c>
      <c r="N19" s="74"/>
      <c r="O19" s="84"/>
    </row>
    <row r="20" spans="1:15" x14ac:dyDescent="0.2">
      <c r="A20" t="s">
        <v>244</v>
      </c>
      <c r="B20" s="84">
        <f>L13</f>
        <v>163367.99999999997</v>
      </c>
      <c r="I20" s="17" t="s">
        <v>192</v>
      </c>
      <c r="J20" s="90">
        <f>J18-J19</f>
        <v>211032.00000000003</v>
      </c>
      <c r="K20" s="94">
        <f>K18-K19</f>
        <v>0.56365384615384628</v>
      </c>
      <c r="L20" s="90">
        <f>L18-L19</f>
        <v>168825.60000000003</v>
      </c>
      <c r="M20" s="94">
        <f>M18-M19</f>
        <v>0.56365384615384628</v>
      </c>
      <c r="N20" s="74"/>
      <c r="O20" s="84"/>
    </row>
    <row r="21" spans="1:15" x14ac:dyDescent="0.2">
      <c r="A21" t="s">
        <v>192</v>
      </c>
      <c r="B21" s="84">
        <f>B19-B20</f>
        <v>211032.00000000003</v>
      </c>
      <c r="I21" s="17" t="s">
        <v>194</v>
      </c>
      <c r="J21" s="90">
        <f>J13</f>
        <v>182635</v>
      </c>
      <c r="K21" s="92" t="s">
        <v>197</v>
      </c>
      <c r="L21" s="95">
        <f>J21</f>
        <v>182635</v>
      </c>
      <c r="M21" s="63" t="s">
        <v>197</v>
      </c>
      <c r="O21" s="84"/>
    </row>
    <row r="22" spans="1:15" x14ac:dyDescent="0.2">
      <c r="A22" t="s">
        <v>243</v>
      </c>
      <c r="B22" s="89">
        <f>B21/B19</f>
        <v>0.56365384615384628</v>
      </c>
      <c r="I22" s="17" t="s">
        <v>195</v>
      </c>
      <c r="J22" s="90">
        <f>J20-J21</f>
        <v>28397.000000000029</v>
      </c>
      <c r="K22" s="92" t="s">
        <v>196</v>
      </c>
      <c r="L22" s="86">
        <f>L20-L21</f>
        <v>-13809.399999999965</v>
      </c>
      <c r="M22" s="63" t="s">
        <v>291</v>
      </c>
      <c r="O22" s="84"/>
    </row>
    <row r="23" spans="1:15" x14ac:dyDescent="0.2">
      <c r="A23" t="s">
        <v>184</v>
      </c>
      <c r="B23" s="84">
        <f>$E$19/B22</f>
        <v>324019.78846809955</v>
      </c>
      <c r="C23" t="s">
        <v>288</v>
      </c>
      <c r="D23" s="74">
        <f>E19/0.5637</f>
        <v>323993.2588256165</v>
      </c>
      <c r="J23" s="85"/>
      <c r="K23" s="88"/>
      <c r="L23" s="85"/>
      <c r="O23" s="84"/>
    </row>
    <row r="24" spans="1:15" x14ac:dyDescent="0.2">
      <c r="A24" t="s">
        <v>289</v>
      </c>
      <c r="B24" s="122">
        <f>B23/13/B16/2</f>
        <v>38.944686113954269</v>
      </c>
      <c r="J24" s="85"/>
      <c r="L24" s="85"/>
    </row>
    <row r="25" spans="1:15" x14ac:dyDescent="0.2">
      <c r="A25" t="s">
        <v>188</v>
      </c>
      <c r="B25" s="122">
        <f>B23/B19*B16</f>
        <v>276.93999014367483</v>
      </c>
      <c r="J25" s="123">
        <f>(L22-J22)/J22</f>
        <v>-1.4862978483642622</v>
      </c>
      <c r="L25" s="85"/>
    </row>
    <row r="26" spans="1:15" x14ac:dyDescent="0.2">
      <c r="B26" s="111">
        <f>B25/30</f>
        <v>9.2313330047891604</v>
      </c>
      <c r="C26">
        <f>9*30</f>
        <v>270</v>
      </c>
    </row>
    <row r="27" spans="1:15" x14ac:dyDescent="0.2">
      <c r="B27" s="111"/>
    </row>
    <row r="28" spans="1:15" x14ac:dyDescent="0.2">
      <c r="B28" s="111"/>
    </row>
    <row r="29" spans="1:15" x14ac:dyDescent="0.2">
      <c r="B29" s="111"/>
    </row>
    <row r="30" spans="1:15" x14ac:dyDescent="0.2">
      <c r="B30" s="111"/>
    </row>
    <row r="31" spans="1:15" x14ac:dyDescent="0.2">
      <c r="B31" s="111"/>
    </row>
    <row r="32" spans="1:15" x14ac:dyDescent="0.2">
      <c r="B32" s="111"/>
    </row>
    <row r="33" spans="2:2" x14ac:dyDescent="0.2">
      <c r="B33" s="111"/>
    </row>
    <row r="34" spans="2:2" x14ac:dyDescent="0.2">
      <c r="B34" s="111"/>
    </row>
    <row r="35" spans="2:2" x14ac:dyDescent="0.2">
      <c r="B35" s="111"/>
    </row>
    <row r="36" spans="2:2" x14ac:dyDescent="0.2">
      <c r="B36" s="111"/>
    </row>
    <row r="37" spans="2:2" x14ac:dyDescent="0.2">
      <c r="B37" s="111"/>
    </row>
    <row r="38" spans="2:2" x14ac:dyDescent="0.2">
      <c r="B38" s="111"/>
    </row>
    <row r="39" spans="2:2" x14ac:dyDescent="0.2">
      <c r="B39" s="111"/>
    </row>
    <row r="40" spans="2:2" x14ac:dyDescent="0.2">
      <c r="B40" s="111"/>
    </row>
    <row r="41" spans="2:2" x14ac:dyDescent="0.2">
      <c r="B41" s="111"/>
    </row>
    <row r="42" spans="2:2" x14ac:dyDescent="0.2">
      <c r="B42" s="111"/>
    </row>
    <row r="43" spans="2:2" x14ac:dyDescent="0.2">
      <c r="B43" s="111"/>
    </row>
    <row r="44" spans="2:2" x14ac:dyDescent="0.2">
      <c r="B44" s="111"/>
    </row>
    <row r="45" spans="2:2" x14ac:dyDescent="0.2">
      <c r="B45" s="111"/>
    </row>
    <row r="46" spans="2:2" x14ac:dyDescent="0.2">
      <c r="B46" s="111"/>
    </row>
    <row r="47" spans="2:2" x14ac:dyDescent="0.2">
      <c r="B47" s="111"/>
    </row>
    <row r="48" spans="2:2" x14ac:dyDescent="0.2">
      <c r="B48" s="111"/>
    </row>
    <row r="49" spans="2:2" x14ac:dyDescent="0.2">
      <c r="B49" s="111"/>
    </row>
    <row r="50" spans="2:2" x14ac:dyDescent="0.2">
      <c r="B50" s="111"/>
    </row>
    <row r="51" spans="2:2" x14ac:dyDescent="0.2">
      <c r="B51" s="111"/>
    </row>
    <row r="52" spans="2:2" x14ac:dyDescent="0.2">
      <c r="B52" s="111"/>
    </row>
    <row r="53" spans="2:2" x14ac:dyDescent="0.2">
      <c r="B53" s="111"/>
    </row>
    <row r="54" spans="2:2" x14ac:dyDescent="0.2">
      <c r="B54" s="111"/>
    </row>
    <row r="55" spans="2:2" x14ac:dyDescent="0.2">
      <c r="B55" s="111"/>
    </row>
    <row r="56" spans="2:2" x14ac:dyDescent="0.2">
      <c r="B56" s="111"/>
    </row>
    <row r="57" spans="2:2" x14ac:dyDescent="0.2">
      <c r="B57" s="111"/>
    </row>
    <row r="58" spans="2:2" x14ac:dyDescent="0.2">
      <c r="B58" s="111"/>
    </row>
    <row r="59" spans="2:2" x14ac:dyDescent="0.2">
      <c r="B59" s="111"/>
    </row>
    <row r="60" spans="2:2" x14ac:dyDescent="0.2">
      <c r="B60" s="111"/>
    </row>
    <row r="61" spans="2:2" x14ac:dyDescent="0.2">
      <c r="B61" s="111"/>
    </row>
    <row r="62" spans="2:2" x14ac:dyDescent="0.2">
      <c r="B62" s="111"/>
    </row>
    <row r="63" spans="2:2" x14ac:dyDescent="0.2">
      <c r="B63" s="111"/>
    </row>
    <row r="64" spans="2:2" x14ac:dyDescent="0.2">
      <c r="B64" s="111"/>
    </row>
    <row r="65" spans="2:2" x14ac:dyDescent="0.2">
      <c r="B65" s="111"/>
    </row>
    <row r="66" spans="2:2" x14ac:dyDescent="0.2">
      <c r="B66" s="111"/>
    </row>
    <row r="67" spans="2:2" x14ac:dyDescent="0.2">
      <c r="B67" s="111"/>
    </row>
    <row r="68" spans="2:2" x14ac:dyDescent="0.2">
      <c r="B68" s="111"/>
    </row>
    <row r="69" spans="2:2" x14ac:dyDescent="0.2">
      <c r="B69" s="111"/>
    </row>
    <row r="70" spans="2:2" x14ac:dyDescent="0.2">
      <c r="B70" s="111"/>
    </row>
    <row r="71" spans="2:2" x14ac:dyDescent="0.2">
      <c r="B71" s="111"/>
    </row>
    <row r="72" spans="2:2" x14ac:dyDescent="0.2">
      <c r="B72" s="111"/>
    </row>
    <row r="73" spans="2:2" x14ac:dyDescent="0.2">
      <c r="B73" s="111"/>
    </row>
    <row r="74" spans="2:2" x14ac:dyDescent="0.2">
      <c r="B74" s="111"/>
    </row>
    <row r="75" spans="2:2" x14ac:dyDescent="0.2">
      <c r="B75" s="111"/>
    </row>
    <row r="76" spans="2:2" x14ac:dyDescent="0.2">
      <c r="B76" s="111"/>
    </row>
    <row r="77" spans="2:2" x14ac:dyDescent="0.2">
      <c r="B77" s="111"/>
    </row>
    <row r="78" spans="2:2" x14ac:dyDescent="0.2">
      <c r="B78" s="111"/>
    </row>
    <row r="79" spans="2:2" x14ac:dyDescent="0.2">
      <c r="B79" s="111"/>
    </row>
    <row r="80" spans="2:2" x14ac:dyDescent="0.2">
      <c r="B80" s="111"/>
    </row>
    <row r="81" spans="2:2" x14ac:dyDescent="0.2">
      <c r="B81" s="111"/>
    </row>
    <row r="82" spans="2:2" x14ac:dyDescent="0.2">
      <c r="B82" s="111"/>
    </row>
    <row r="83" spans="2:2" x14ac:dyDescent="0.2">
      <c r="B83" s="111"/>
    </row>
    <row r="84" spans="2:2" x14ac:dyDescent="0.2">
      <c r="B84" s="111"/>
    </row>
    <row r="85" spans="2:2" x14ac:dyDescent="0.2">
      <c r="B85" s="111"/>
    </row>
    <row r="86" spans="2:2" x14ac:dyDescent="0.2">
      <c r="B86" s="111"/>
    </row>
    <row r="87" spans="2:2" x14ac:dyDescent="0.2">
      <c r="B87" s="111"/>
    </row>
    <row r="88" spans="2:2" x14ac:dyDescent="0.2">
      <c r="B88" s="111"/>
    </row>
    <row r="89" spans="2:2" x14ac:dyDescent="0.2">
      <c r="B89" s="111"/>
    </row>
    <row r="90" spans="2:2" x14ac:dyDescent="0.2">
      <c r="B90" s="111"/>
    </row>
    <row r="91" spans="2:2" x14ac:dyDescent="0.2">
      <c r="B91" s="111"/>
    </row>
    <row r="92" spans="2:2" x14ac:dyDescent="0.2">
      <c r="B92" s="111"/>
    </row>
    <row r="93" spans="2:2" x14ac:dyDescent="0.2">
      <c r="B93" s="111"/>
    </row>
    <row r="94" spans="2:2" x14ac:dyDescent="0.2">
      <c r="B94" s="111"/>
    </row>
    <row r="95" spans="2:2" x14ac:dyDescent="0.2">
      <c r="B95" s="111"/>
    </row>
    <row r="96" spans="2:2" x14ac:dyDescent="0.2">
      <c r="B96" s="111"/>
    </row>
    <row r="97" spans="2:2" x14ac:dyDescent="0.2">
      <c r="B97" s="111"/>
    </row>
    <row r="98" spans="2:2" x14ac:dyDescent="0.2">
      <c r="B98" s="111"/>
    </row>
    <row r="99" spans="2:2" x14ac:dyDescent="0.2">
      <c r="B99" s="111"/>
    </row>
    <row r="100" spans="2:2" x14ac:dyDescent="0.2">
      <c r="B100" s="111"/>
    </row>
    <row r="101" spans="2:2" x14ac:dyDescent="0.2">
      <c r="B101" s="111"/>
    </row>
    <row r="102" spans="2:2" x14ac:dyDescent="0.2">
      <c r="B102" s="111"/>
    </row>
    <row r="103" spans="2:2" x14ac:dyDescent="0.2">
      <c r="B103" s="111"/>
    </row>
    <row r="104" spans="2:2" x14ac:dyDescent="0.2">
      <c r="B104" s="111"/>
    </row>
    <row r="105" spans="2:2" x14ac:dyDescent="0.2">
      <c r="B105" s="111"/>
    </row>
    <row r="106" spans="2:2" x14ac:dyDescent="0.2">
      <c r="B106" s="111"/>
    </row>
    <row r="107" spans="2:2" x14ac:dyDescent="0.2">
      <c r="B107" s="111"/>
    </row>
    <row r="108" spans="2:2" x14ac:dyDescent="0.2">
      <c r="B108" s="111"/>
    </row>
    <row r="109" spans="2:2" x14ac:dyDescent="0.2">
      <c r="B109" s="111"/>
    </row>
    <row r="110" spans="2:2" x14ac:dyDescent="0.2">
      <c r="B110" s="111"/>
    </row>
    <row r="111" spans="2:2" x14ac:dyDescent="0.2">
      <c r="B111" s="111"/>
    </row>
    <row r="112" spans="2:2" x14ac:dyDescent="0.2">
      <c r="B112" s="111"/>
    </row>
    <row r="113" spans="2:2" x14ac:dyDescent="0.2">
      <c r="B113" s="111"/>
    </row>
    <row r="114" spans="2:2" x14ac:dyDescent="0.2">
      <c r="B114" s="111"/>
    </row>
    <row r="115" spans="2:2" x14ac:dyDescent="0.2">
      <c r="B115" s="111"/>
    </row>
    <row r="116" spans="2:2" x14ac:dyDescent="0.2">
      <c r="B116" s="111"/>
    </row>
    <row r="117" spans="2:2" x14ac:dyDescent="0.2">
      <c r="B117" s="111"/>
    </row>
    <row r="118" spans="2:2" x14ac:dyDescent="0.2">
      <c r="B118" s="111"/>
    </row>
    <row r="119" spans="2:2" x14ac:dyDescent="0.2">
      <c r="B119" s="111"/>
    </row>
    <row r="120" spans="2:2" x14ac:dyDescent="0.2">
      <c r="B120" s="111"/>
    </row>
    <row r="121" spans="2:2" x14ac:dyDescent="0.2">
      <c r="B121" s="111"/>
    </row>
    <row r="122" spans="2:2" x14ac:dyDescent="0.2">
      <c r="B122" s="111"/>
    </row>
    <row r="123" spans="2:2" x14ac:dyDescent="0.2">
      <c r="B123" s="111"/>
    </row>
    <row r="124" spans="2:2" x14ac:dyDescent="0.2">
      <c r="B124" s="111"/>
    </row>
    <row r="125" spans="2:2" x14ac:dyDescent="0.2">
      <c r="B125" s="111"/>
    </row>
    <row r="126" spans="2:2" x14ac:dyDescent="0.2">
      <c r="B126" s="111"/>
    </row>
    <row r="127" spans="2:2" x14ac:dyDescent="0.2">
      <c r="B127" s="111"/>
    </row>
    <row r="128" spans="2:2" x14ac:dyDescent="0.2">
      <c r="B128" s="111"/>
    </row>
    <row r="129" spans="2:2" x14ac:dyDescent="0.2">
      <c r="B129" s="111"/>
    </row>
    <row r="130" spans="2:2" x14ac:dyDescent="0.2">
      <c r="B130" s="111"/>
    </row>
    <row r="131" spans="2:2" x14ac:dyDescent="0.2">
      <c r="B131" s="111"/>
    </row>
    <row r="132" spans="2:2" x14ac:dyDescent="0.2">
      <c r="B132" s="111"/>
    </row>
    <row r="133" spans="2:2" x14ac:dyDescent="0.2">
      <c r="B133" s="111"/>
    </row>
    <row r="134" spans="2:2" x14ac:dyDescent="0.2">
      <c r="B134" s="111"/>
    </row>
    <row r="135" spans="2:2" x14ac:dyDescent="0.2">
      <c r="B135" s="111"/>
    </row>
    <row r="136" spans="2:2" x14ac:dyDescent="0.2">
      <c r="B136" s="111"/>
    </row>
    <row r="137" spans="2:2" x14ac:dyDescent="0.2">
      <c r="B137" s="111"/>
    </row>
    <row r="138" spans="2:2" x14ac:dyDescent="0.2">
      <c r="B138" s="111"/>
    </row>
    <row r="139" spans="2:2" x14ac:dyDescent="0.2">
      <c r="B139" s="111"/>
    </row>
    <row r="140" spans="2:2" x14ac:dyDescent="0.2">
      <c r="B140" s="111"/>
    </row>
    <row r="141" spans="2:2" x14ac:dyDescent="0.2">
      <c r="B141" s="111"/>
    </row>
    <row r="142" spans="2:2" x14ac:dyDescent="0.2">
      <c r="B142" s="111"/>
    </row>
    <row r="143" spans="2:2" x14ac:dyDescent="0.2">
      <c r="B143" s="111"/>
    </row>
  </sheetData>
  <mergeCells count="2">
    <mergeCell ref="I1:J1"/>
    <mergeCell ref="K1:L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0F4A0-98DD-664F-87E8-92A1CBD72693}">
  <dimension ref="A1:I38"/>
  <sheetViews>
    <sheetView zoomScale="94" workbookViewId="0">
      <selection activeCell="F35" sqref="F35"/>
    </sheetView>
  </sheetViews>
  <sheetFormatPr baseColWidth="10" defaultRowHeight="16" x14ac:dyDescent="0.2"/>
  <cols>
    <col min="1" max="1" width="13.6640625" customWidth="1"/>
    <col min="2" max="2" width="11.5" bestFit="1" customWidth="1"/>
    <col min="4" max="4" width="14.33203125" customWidth="1"/>
    <col min="6" max="6" width="13.1640625" customWidth="1"/>
    <col min="7" max="7" width="15.1640625" customWidth="1"/>
    <col min="8" max="8" width="16" customWidth="1"/>
    <col min="9" max="9" width="15.5" customWidth="1"/>
  </cols>
  <sheetData>
    <row r="1" spans="1:9" x14ac:dyDescent="0.2">
      <c r="A1" s="17" t="s">
        <v>216</v>
      </c>
      <c r="B1" s="17" t="s">
        <v>217</v>
      </c>
    </row>
    <row r="2" spans="1:9" x14ac:dyDescent="0.2">
      <c r="A2" s="17" t="s">
        <v>218</v>
      </c>
      <c r="B2" s="94">
        <v>3.5000000000000003E-2</v>
      </c>
    </row>
    <row r="3" spans="1:9" x14ac:dyDescent="0.2">
      <c r="A3" s="17" t="s">
        <v>211</v>
      </c>
      <c r="B3" s="94">
        <v>4.0000000000000001E-3</v>
      </c>
    </row>
    <row r="4" spans="1:9" x14ac:dyDescent="0.2">
      <c r="A4" s="17" t="s">
        <v>219</v>
      </c>
      <c r="B4" s="82" t="s">
        <v>222</v>
      </c>
    </row>
    <row r="5" spans="1:9" x14ac:dyDescent="0.2">
      <c r="A5" s="17" t="s">
        <v>220</v>
      </c>
      <c r="B5" s="82" t="s">
        <v>222</v>
      </c>
    </row>
    <row r="6" spans="1:9" x14ac:dyDescent="0.2">
      <c r="A6" s="17" t="s">
        <v>221</v>
      </c>
      <c r="B6" s="82" t="s">
        <v>222</v>
      </c>
    </row>
    <row r="7" spans="1:9" x14ac:dyDescent="0.2">
      <c r="A7" s="17" t="s">
        <v>223</v>
      </c>
      <c r="B7" s="63" t="s">
        <v>224</v>
      </c>
    </row>
    <row r="10" spans="1:9" x14ac:dyDescent="0.2">
      <c r="A10" t="s">
        <v>168</v>
      </c>
      <c r="B10" s="84">
        <v>80000</v>
      </c>
    </row>
    <row r="11" spans="1:9" x14ac:dyDescent="0.2">
      <c r="A11" t="s">
        <v>225</v>
      </c>
      <c r="B11" s="97">
        <v>0.05</v>
      </c>
    </row>
    <row r="12" spans="1:9" x14ac:dyDescent="0.2">
      <c r="A12" t="s">
        <v>226</v>
      </c>
      <c r="B12">
        <v>4</v>
      </c>
    </row>
    <row r="15" spans="1:9" x14ac:dyDescent="0.2">
      <c r="A15" t="s">
        <v>227</v>
      </c>
      <c r="B15" s="74">
        <f>B10*(1+B11)^B12</f>
        <v>97240.5</v>
      </c>
      <c r="D15" t="s">
        <v>228</v>
      </c>
    </row>
    <row r="16" spans="1:9" x14ac:dyDescent="0.2">
      <c r="E16" s="63" t="s">
        <v>229</v>
      </c>
      <c r="F16" s="63" t="s">
        <v>230</v>
      </c>
      <c r="G16" s="63" t="s">
        <v>165</v>
      </c>
      <c r="H16" s="63" t="s">
        <v>231</v>
      </c>
      <c r="I16" s="63" t="s">
        <v>232</v>
      </c>
    </row>
    <row r="17" spans="4:9" x14ac:dyDescent="0.2">
      <c r="E17" s="17"/>
      <c r="F17" s="17"/>
      <c r="G17" s="63" t="s">
        <v>233</v>
      </c>
      <c r="H17" s="63" t="s">
        <v>234</v>
      </c>
      <c r="I17" s="63" t="s">
        <v>235</v>
      </c>
    </row>
    <row r="18" spans="4:9" x14ac:dyDescent="0.2">
      <c r="E18" s="63">
        <v>1</v>
      </c>
      <c r="F18" s="90">
        <v>80000</v>
      </c>
      <c r="G18" s="90">
        <f>F18*$B$11</f>
        <v>4000</v>
      </c>
      <c r="H18" s="90">
        <v>20000</v>
      </c>
      <c r="I18" s="90">
        <f>G18+H18</f>
        <v>24000</v>
      </c>
    </row>
    <row r="19" spans="4:9" x14ac:dyDescent="0.2">
      <c r="E19" s="63">
        <v>2</v>
      </c>
      <c r="F19" s="90">
        <f>F18-H18</f>
        <v>60000</v>
      </c>
      <c r="G19" s="90">
        <f>F19*B11</f>
        <v>3000</v>
      </c>
      <c r="H19" s="90">
        <v>20000</v>
      </c>
      <c r="I19" s="90">
        <f t="shared" ref="I19:I21" si="0">G19+H19</f>
        <v>23000</v>
      </c>
    </row>
    <row r="20" spans="4:9" x14ac:dyDescent="0.2">
      <c r="E20" s="63">
        <v>3</v>
      </c>
      <c r="F20" s="90">
        <f t="shared" ref="F20:F21" si="1">F19-H19</f>
        <v>40000</v>
      </c>
      <c r="G20" s="90">
        <f>F20*B11</f>
        <v>2000</v>
      </c>
      <c r="H20" s="90">
        <v>20000</v>
      </c>
      <c r="I20" s="90">
        <f t="shared" si="0"/>
        <v>22000</v>
      </c>
    </row>
    <row r="21" spans="4:9" x14ac:dyDescent="0.2">
      <c r="E21" s="63">
        <v>4</v>
      </c>
      <c r="F21" s="90">
        <f t="shared" si="1"/>
        <v>20000</v>
      </c>
      <c r="G21" s="90">
        <f>F21*B11</f>
        <v>1000</v>
      </c>
      <c r="H21" s="90">
        <v>20000</v>
      </c>
      <c r="I21" s="90">
        <f t="shared" si="0"/>
        <v>21000</v>
      </c>
    </row>
    <row r="22" spans="4:9" x14ac:dyDescent="0.2">
      <c r="E22" s="244" t="s">
        <v>236</v>
      </c>
      <c r="F22" s="244"/>
      <c r="G22" s="95">
        <f>SUM(G18:G21)</f>
        <v>10000</v>
      </c>
      <c r="H22" s="95">
        <f>SUM(H18:H21)</f>
        <v>80000</v>
      </c>
      <c r="I22" s="95">
        <f>SUM(I18:I21)</f>
        <v>90000</v>
      </c>
    </row>
    <row r="24" spans="4:9" x14ac:dyDescent="0.2">
      <c r="D24" t="s">
        <v>237</v>
      </c>
    </row>
    <row r="25" spans="4:9" x14ac:dyDescent="0.2">
      <c r="E25" s="98" t="s">
        <v>229</v>
      </c>
      <c r="F25" s="99" t="s">
        <v>230</v>
      </c>
      <c r="G25" s="99" t="s">
        <v>165</v>
      </c>
      <c r="H25" s="99" t="s">
        <v>231</v>
      </c>
      <c r="I25" s="99" t="s">
        <v>232</v>
      </c>
    </row>
    <row r="26" spans="4:9" x14ac:dyDescent="0.2">
      <c r="E26" s="102">
        <v>1</v>
      </c>
      <c r="F26" s="103">
        <v>80000</v>
      </c>
      <c r="G26" s="90">
        <f>F26*$B$11</f>
        <v>4000</v>
      </c>
      <c r="H26" s="103">
        <v>0</v>
      </c>
      <c r="I26" s="90">
        <f>G26+H26</f>
        <v>4000</v>
      </c>
    </row>
    <row r="27" spans="4:9" x14ac:dyDescent="0.2">
      <c r="E27" s="102">
        <v>2</v>
      </c>
      <c r="F27" s="103">
        <v>80000</v>
      </c>
      <c r="G27" s="90">
        <f t="shared" ref="G27:G29" si="2">F27*$B$11</f>
        <v>4000</v>
      </c>
      <c r="H27" s="103">
        <v>0</v>
      </c>
      <c r="I27" s="90">
        <f t="shared" ref="I27:I29" si="3">G27+H27</f>
        <v>4000</v>
      </c>
    </row>
    <row r="28" spans="4:9" x14ac:dyDescent="0.2">
      <c r="E28" s="102">
        <v>3</v>
      </c>
      <c r="F28" s="103">
        <v>80000</v>
      </c>
      <c r="G28" s="90">
        <f t="shared" si="2"/>
        <v>4000</v>
      </c>
      <c r="H28" s="103">
        <v>0</v>
      </c>
      <c r="I28" s="90">
        <f t="shared" si="3"/>
        <v>4000</v>
      </c>
    </row>
    <row r="29" spans="4:9" x14ac:dyDescent="0.2">
      <c r="E29" s="102">
        <v>4</v>
      </c>
      <c r="F29" s="103">
        <v>80000</v>
      </c>
      <c r="G29" s="90">
        <f t="shared" si="2"/>
        <v>4000</v>
      </c>
      <c r="H29" s="103">
        <v>80000</v>
      </c>
      <c r="I29" s="90">
        <f t="shared" si="3"/>
        <v>84000</v>
      </c>
    </row>
    <row r="30" spans="4:9" x14ac:dyDescent="0.2">
      <c r="E30" s="245" t="s">
        <v>236</v>
      </c>
      <c r="F30" s="246"/>
      <c r="G30" s="103">
        <f>SUM(G26:G29)</f>
        <v>16000</v>
      </c>
      <c r="H30" s="103">
        <f>SUM(H26:H29)</f>
        <v>80000</v>
      </c>
      <c r="I30" s="103">
        <f>SUM(I26:I29)</f>
        <v>96000</v>
      </c>
    </row>
    <row r="32" spans="4:9" x14ac:dyDescent="0.2">
      <c r="D32" t="s">
        <v>238</v>
      </c>
    </row>
    <row r="33" spans="5:9" x14ac:dyDescent="0.2">
      <c r="E33" s="98" t="s">
        <v>229</v>
      </c>
      <c r="F33" s="99" t="s">
        <v>230</v>
      </c>
      <c r="G33" s="99" t="s">
        <v>165</v>
      </c>
      <c r="H33" s="99" t="s">
        <v>231</v>
      </c>
      <c r="I33" s="99" t="s">
        <v>232</v>
      </c>
    </row>
    <row r="34" spans="5:9" x14ac:dyDescent="0.2">
      <c r="E34" s="102">
        <v>1</v>
      </c>
      <c r="F34" s="103">
        <v>80000</v>
      </c>
      <c r="G34" s="90">
        <f>F34*$B$11</f>
        <v>4000</v>
      </c>
      <c r="H34" s="103">
        <f>I34-G34</f>
        <v>18561</v>
      </c>
      <c r="I34" s="103">
        <f>22561</f>
        <v>22561</v>
      </c>
    </row>
    <row r="35" spans="5:9" x14ac:dyDescent="0.2">
      <c r="E35" s="102">
        <v>2</v>
      </c>
      <c r="F35" s="103">
        <f>F34-H34</f>
        <v>61439</v>
      </c>
      <c r="G35" s="90">
        <f t="shared" ref="G35:G37" si="4">F35*$B$11</f>
        <v>3071.9500000000003</v>
      </c>
      <c r="H35" s="103">
        <f t="shared" ref="H35:H36" si="5">I35-G35</f>
        <v>19489.05</v>
      </c>
      <c r="I35" s="103">
        <f>22561</f>
        <v>22561</v>
      </c>
    </row>
    <row r="36" spans="5:9" x14ac:dyDescent="0.2">
      <c r="E36" s="102">
        <v>3</v>
      </c>
      <c r="F36" s="103">
        <f>F35-H35</f>
        <v>41949.95</v>
      </c>
      <c r="G36" s="90">
        <f t="shared" si="4"/>
        <v>2097.4974999999999</v>
      </c>
      <c r="H36" s="103">
        <f t="shared" si="5"/>
        <v>20463.502499999999</v>
      </c>
      <c r="I36" s="103">
        <f>22561</f>
        <v>22561</v>
      </c>
    </row>
    <row r="37" spans="5:9" x14ac:dyDescent="0.2">
      <c r="E37" s="102">
        <v>4</v>
      </c>
      <c r="F37" s="103">
        <f>F36-H36</f>
        <v>21486.447499999998</v>
      </c>
      <c r="G37" s="90">
        <f t="shared" si="4"/>
        <v>1074.322375</v>
      </c>
      <c r="H37" s="103">
        <f>F37</f>
        <v>21486.447499999998</v>
      </c>
      <c r="I37" s="103">
        <f>G37+H37</f>
        <v>22560.769874999998</v>
      </c>
    </row>
    <row r="38" spans="5:9" x14ac:dyDescent="0.2">
      <c r="E38" s="245" t="s">
        <v>236</v>
      </c>
      <c r="F38" s="247"/>
      <c r="G38" s="103">
        <f>SUM(G34:G37)</f>
        <v>10243.769875</v>
      </c>
      <c r="H38" s="103">
        <f>SUM(H34:H37)</f>
        <v>80000</v>
      </c>
      <c r="I38" s="103">
        <f>SUM(G38:H38)</f>
        <v>90243.769874999998</v>
      </c>
    </row>
  </sheetData>
  <mergeCells count="3">
    <mergeCell ref="E22:F22"/>
    <mergeCell ref="E30:F30"/>
    <mergeCell ref="E38:F3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230C4-104E-4B49-9467-63A339A18554}">
  <dimension ref="A1:U77"/>
  <sheetViews>
    <sheetView zoomScale="90" workbookViewId="0">
      <selection activeCell="D52" sqref="D52"/>
    </sheetView>
  </sheetViews>
  <sheetFormatPr baseColWidth="10" defaultRowHeight="16" x14ac:dyDescent="0.2"/>
  <cols>
    <col min="2" max="2" width="14" customWidth="1"/>
    <col min="6" max="6" width="14.5" customWidth="1"/>
    <col min="7" max="7" width="14.33203125" customWidth="1"/>
    <col min="8" max="8" width="14.6640625" bestFit="1" customWidth="1"/>
    <col min="9" max="9" width="13.6640625" customWidth="1"/>
    <col min="14" max="14" width="14.1640625" customWidth="1"/>
  </cols>
  <sheetData>
    <row r="1" spans="1:21" x14ac:dyDescent="0.2">
      <c r="A1" s="48" t="s">
        <v>168</v>
      </c>
      <c r="B1" s="106">
        <v>170000</v>
      </c>
      <c r="C1" s="48"/>
      <c r="D1" s="48"/>
      <c r="E1" s="48"/>
      <c r="F1" s="48"/>
      <c r="G1" s="48"/>
      <c r="H1" s="48"/>
      <c r="I1" s="48"/>
      <c r="J1" s="48"/>
    </row>
    <row r="2" spans="1:21" x14ac:dyDescent="0.2">
      <c r="A2" s="48" t="s">
        <v>225</v>
      </c>
      <c r="B2" s="104">
        <v>5.2499999999999998E-2</v>
      </c>
      <c r="C2" s="48"/>
      <c r="D2" s="48"/>
      <c r="E2" s="48"/>
      <c r="F2" s="48"/>
      <c r="G2" s="48"/>
      <c r="H2" s="48"/>
      <c r="I2" s="48"/>
      <c r="J2" s="48"/>
    </row>
    <row r="3" spans="1:21" x14ac:dyDescent="0.2">
      <c r="A3" s="48" t="s">
        <v>226</v>
      </c>
      <c r="B3" s="48">
        <v>6</v>
      </c>
      <c r="C3" s="48"/>
      <c r="D3" s="48"/>
      <c r="E3" s="48"/>
      <c r="F3" s="48"/>
      <c r="G3" s="48"/>
      <c r="H3" s="48"/>
      <c r="I3" s="48"/>
      <c r="J3" s="48"/>
    </row>
    <row r="4" spans="1:21" x14ac:dyDescent="0.2">
      <c r="A4" s="48" t="s">
        <v>239</v>
      </c>
      <c r="B4" s="106">
        <f>B1/B3</f>
        <v>28333.333333333332</v>
      </c>
      <c r="C4" s="48"/>
      <c r="D4" s="48"/>
      <c r="E4" s="48"/>
      <c r="F4" s="48"/>
      <c r="G4" s="48"/>
      <c r="H4" s="48"/>
      <c r="I4" s="48"/>
      <c r="J4" s="48"/>
    </row>
    <row r="5" spans="1:21" x14ac:dyDescent="0.2">
      <c r="A5" s="48"/>
      <c r="B5" s="48"/>
      <c r="C5" s="48"/>
      <c r="D5" s="48"/>
      <c r="E5" s="48"/>
      <c r="F5" s="48"/>
      <c r="G5" s="48"/>
      <c r="H5" s="48"/>
      <c r="I5" s="48"/>
      <c r="J5" s="48"/>
      <c r="K5" t="s">
        <v>315</v>
      </c>
    </row>
    <row r="6" spans="1:21" x14ac:dyDescent="0.2">
      <c r="A6" s="48" t="s">
        <v>227</v>
      </c>
      <c r="B6" s="105">
        <f>B1*(1+B2)^B3</f>
        <v>231090.21063023646</v>
      </c>
      <c r="C6" s="48"/>
      <c r="D6" s="48" t="s">
        <v>228</v>
      </c>
      <c r="E6" s="48"/>
      <c r="F6" s="48"/>
      <c r="G6" s="48"/>
      <c r="H6" s="48"/>
      <c r="I6" s="48"/>
      <c r="J6" s="48"/>
    </row>
    <row r="7" spans="1:21" x14ac:dyDescent="0.2">
      <c r="A7" s="48"/>
      <c r="B7" s="48"/>
      <c r="C7" s="48"/>
      <c r="D7" s="48"/>
      <c r="E7" s="98" t="s">
        <v>229</v>
      </c>
      <c r="F7" s="99" t="s">
        <v>230</v>
      </c>
      <c r="G7" s="99" t="s">
        <v>165</v>
      </c>
      <c r="H7" s="99" t="s">
        <v>231</v>
      </c>
      <c r="I7" s="99" t="s">
        <v>232</v>
      </c>
      <c r="J7" s="48"/>
      <c r="K7" s="98" t="s">
        <v>229</v>
      </c>
      <c r="L7" s="99" t="s">
        <v>230</v>
      </c>
      <c r="M7" s="99" t="s">
        <v>165</v>
      </c>
      <c r="N7" s="99" t="s">
        <v>231</v>
      </c>
      <c r="O7" s="99" t="s">
        <v>232</v>
      </c>
      <c r="Q7" s="98" t="s">
        <v>229</v>
      </c>
      <c r="R7" s="99" t="s">
        <v>230</v>
      </c>
      <c r="S7" s="99" t="s">
        <v>165</v>
      </c>
      <c r="T7" s="99" t="s">
        <v>231</v>
      </c>
      <c r="U7" s="99" t="s">
        <v>232</v>
      </c>
    </row>
    <row r="8" spans="1:21" x14ac:dyDescent="0.2">
      <c r="A8" s="48"/>
      <c r="B8" s="48"/>
      <c r="C8" s="48"/>
      <c r="D8" s="48"/>
      <c r="E8" s="100"/>
      <c r="F8" s="101"/>
      <c r="G8" s="64" t="s">
        <v>233</v>
      </c>
      <c r="H8" s="64" t="s">
        <v>234</v>
      </c>
      <c r="I8" s="64" t="s">
        <v>235</v>
      </c>
      <c r="J8" s="48"/>
      <c r="K8" s="100"/>
      <c r="L8" s="101"/>
      <c r="M8" s="64" t="s">
        <v>233</v>
      </c>
      <c r="N8" s="64" t="s">
        <v>234</v>
      </c>
      <c r="O8" s="64" t="s">
        <v>235</v>
      </c>
      <c r="Q8" s="100"/>
      <c r="R8" s="101"/>
      <c r="S8" s="64" t="s">
        <v>233</v>
      </c>
      <c r="T8" s="64" t="s">
        <v>234</v>
      </c>
      <c r="U8" s="64" t="s">
        <v>235</v>
      </c>
    </row>
    <row r="9" spans="1:21" x14ac:dyDescent="0.2">
      <c r="A9" s="48"/>
      <c r="B9" s="48"/>
      <c r="C9" s="48"/>
      <c r="D9" s="48"/>
      <c r="E9" s="102">
        <v>1</v>
      </c>
      <c r="F9" s="107">
        <f>B1</f>
        <v>170000</v>
      </c>
      <c r="G9" s="108">
        <v>8925</v>
      </c>
      <c r="H9" s="107">
        <f>28333</f>
        <v>28333</v>
      </c>
      <c r="I9" s="107">
        <f>G9+H9</f>
        <v>37258</v>
      </c>
      <c r="J9" s="48"/>
      <c r="K9" s="102">
        <v>1</v>
      </c>
      <c r="L9" s="107">
        <f>B1</f>
        <v>170000</v>
      </c>
      <c r="M9" s="108">
        <v>8925</v>
      </c>
      <c r="N9" s="107">
        <f>28333</f>
        <v>28333</v>
      </c>
      <c r="O9" s="107">
        <f>M9+N9</f>
        <v>37258</v>
      </c>
      <c r="Q9" s="102">
        <v>1</v>
      </c>
      <c r="R9" s="107">
        <f>B1</f>
        <v>170000</v>
      </c>
      <c r="S9" s="108">
        <v>8925</v>
      </c>
      <c r="T9" s="107">
        <f>28333</f>
        <v>28333</v>
      </c>
      <c r="U9" s="107">
        <f>S9+T9</f>
        <v>37258</v>
      </c>
    </row>
    <row r="10" spans="1:21" x14ac:dyDescent="0.2">
      <c r="A10" s="48"/>
      <c r="B10" s="48"/>
      <c r="C10" s="48"/>
      <c r="D10" s="48"/>
      <c r="E10" s="102">
        <v>2</v>
      </c>
      <c r="F10" s="107">
        <f>F9-H9</f>
        <v>141667</v>
      </c>
      <c r="G10" s="108">
        <v>7438</v>
      </c>
      <c r="H10" s="107">
        <f>28333</f>
        <v>28333</v>
      </c>
      <c r="I10" s="107">
        <f t="shared" ref="I10:I11" si="0">G10+H10</f>
        <v>35771</v>
      </c>
      <c r="J10" s="48"/>
      <c r="K10" s="102">
        <v>2</v>
      </c>
      <c r="L10" s="107">
        <f>L9-N9</f>
        <v>141667</v>
      </c>
      <c r="M10" s="108">
        <v>7438</v>
      </c>
      <c r="N10" s="107">
        <f>28333</f>
        <v>28333</v>
      </c>
      <c r="O10" s="107">
        <f t="shared" ref="O10" si="1">M10+N10</f>
        <v>35771</v>
      </c>
      <c r="Q10" s="102">
        <v>2</v>
      </c>
      <c r="R10" s="107">
        <f>R9-T9</f>
        <v>141667</v>
      </c>
      <c r="S10" s="108">
        <v>7438</v>
      </c>
      <c r="T10" s="107">
        <f>28333</f>
        <v>28333</v>
      </c>
      <c r="U10" s="107">
        <f t="shared" ref="U10" si="2">S10+T10</f>
        <v>35771</v>
      </c>
    </row>
    <row r="11" spans="1:21" x14ac:dyDescent="0.2">
      <c r="A11" s="48"/>
      <c r="B11" s="48"/>
      <c r="C11" s="48"/>
      <c r="D11" s="48"/>
      <c r="E11" s="102">
        <v>3</v>
      </c>
      <c r="F11" s="107">
        <f>F10-H10</f>
        <v>113334</v>
      </c>
      <c r="G11" s="108">
        <v>5950</v>
      </c>
      <c r="H11" s="107">
        <f>28333</f>
        <v>28333</v>
      </c>
      <c r="I11" s="107">
        <f t="shared" si="0"/>
        <v>34283</v>
      </c>
      <c r="J11" s="48"/>
      <c r="K11" s="102">
        <v>3</v>
      </c>
      <c r="L11" s="107">
        <f>L10-N10</f>
        <v>113334</v>
      </c>
      <c r="M11" s="108">
        <v>5950</v>
      </c>
      <c r="N11" s="107">
        <f>28333</f>
        <v>28333</v>
      </c>
      <c r="O11" s="130">
        <v>40283</v>
      </c>
      <c r="Q11" s="102">
        <v>3</v>
      </c>
      <c r="R11" s="107">
        <f>R10-T10</f>
        <v>113334</v>
      </c>
      <c r="S11" s="108">
        <v>5950</v>
      </c>
      <c r="T11" s="107">
        <f>U11-S11</f>
        <v>34333</v>
      </c>
      <c r="U11" s="130">
        <v>40283</v>
      </c>
    </row>
    <row r="12" spans="1:21" x14ac:dyDescent="0.2">
      <c r="A12" s="48"/>
      <c r="B12" s="48"/>
      <c r="C12" s="48"/>
      <c r="D12" s="48"/>
      <c r="E12" s="102">
        <v>4</v>
      </c>
      <c r="F12" s="107">
        <f>F11-H11</f>
        <v>85001</v>
      </c>
      <c r="G12" s="108">
        <v>4463</v>
      </c>
      <c r="H12" s="107">
        <f>28333</f>
        <v>28333</v>
      </c>
      <c r="I12" s="107">
        <f>G12+H12</f>
        <v>32796</v>
      </c>
      <c r="J12" s="48"/>
      <c r="K12" s="102">
        <v>4</v>
      </c>
      <c r="L12" s="107">
        <f>L11-N11-6000</f>
        <v>79001</v>
      </c>
      <c r="M12" s="108">
        <f>L12*5.25%</f>
        <v>4147.5524999999998</v>
      </c>
      <c r="N12" s="107">
        <f>L12/3</f>
        <v>26333.666666666668</v>
      </c>
      <c r="O12" s="107">
        <f>M12+N12</f>
        <v>30481.219166666669</v>
      </c>
      <c r="Q12" s="102">
        <v>4</v>
      </c>
      <c r="R12" s="107">
        <f>R11-T11</f>
        <v>79001</v>
      </c>
      <c r="S12" s="108">
        <f>R12*5.25%</f>
        <v>4147.5524999999998</v>
      </c>
      <c r="T12" s="107">
        <f>R12/3</f>
        <v>26333.666666666668</v>
      </c>
      <c r="U12" s="107">
        <f>S12+T12</f>
        <v>30481.219166666669</v>
      </c>
    </row>
    <row r="13" spans="1:21" x14ac:dyDescent="0.2">
      <c r="A13" s="48"/>
      <c r="B13" s="48"/>
      <c r="C13" s="48"/>
      <c r="D13" s="48"/>
      <c r="E13" s="102">
        <v>5</v>
      </c>
      <c r="F13" s="107">
        <f t="shared" ref="F13:F14" si="3">F12-H12</f>
        <v>56668</v>
      </c>
      <c r="G13" s="108">
        <v>2975</v>
      </c>
      <c r="H13" s="107">
        <f>28333</f>
        <v>28333</v>
      </c>
      <c r="I13" s="107">
        <f t="shared" ref="I13:I14" si="4">G13+H13</f>
        <v>31308</v>
      </c>
      <c r="J13" s="48"/>
      <c r="K13" s="102">
        <v>5</v>
      </c>
      <c r="L13" s="107">
        <f t="shared" ref="L13:L14" si="5">L12-N12</f>
        <v>52667.333333333328</v>
      </c>
      <c r="M13" s="108">
        <f t="shared" ref="M13:M14" si="6">L13*5.25%</f>
        <v>2765.0349999999999</v>
      </c>
      <c r="N13" s="107">
        <v>26334</v>
      </c>
      <c r="O13" s="107">
        <f>M13+N13</f>
        <v>29099.035</v>
      </c>
      <c r="Q13" s="102">
        <v>5</v>
      </c>
      <c r="R13" s="107">
        <f t="shared" ref="R13:R14" si="7">R12-T12</f>
        <v>52667.333333333328</v>
      </c>
      <c r="S13" s="108">
        <f t="shared" ref="S13:S14" si="8">R13*5.25%</f>
        <v>2765.0349999999999</v>
      </c>
      <c r="T13" s="107">
        <v>26334</v>
      </c>
      <c r="U13" s="107">
        <f>S13+T13</f>
        <v>29099.035</v>
      </c>
    </row>
    <row r="14" spans="1:21" x14ac:dyDescent="0.2">
      <c r="A14" s="48"/>
      <c r="B14" s="48"/>
      <c r="C14" s="48"/>
      <c r="D14" s="48"/>
      <c r="E14" s="109">
        <v>6</v>
      </c>
      <c r="F14" s="107">
        <f t="shared" si="3"/>
        <v>28335</v>
      </c>
      <c r="G14" s="108">
        <v>1488</v>
      </c>
      <c r="H14" s="107">
        <f>28335</f>
        <v>28335</v>
      </c>
      <c r="I14" s="107">
        <f t="shared" si="4"/>
        <v>29823</v>
      </c>
      <c r="J14" s="48"/>
      <c r="K14" s="109">
        <v>6</v>
      </c>
      <c r="L14" s="107">
        <f t="shared" si="5"/>
        <v>26333.333333333328</v>
      </c>
      <c r="M14" s="108">
        <f t="shared" si="6"/>
        <v>1382.4999999999998</v>
      </c>
      <c r="N14" s="107">
        <f>L12-N12-N13</f>
        <v>26333.333333333328</v>
      </c>
      <c r="O14" s="107">
        <f>M14+N14</f>
        <v>27715.833333333328</v>
      </c>
      <c r="Q14" s="109">
        <v>6</v>
      </c>
      <c r="R14" s="107">
        <f t="shared" si="7"/>
        <v>26333.333333333328</v>
      </c>
      <c r="S14" s="108">
        <f t="shared" si="8"/>
        <v>1382.4999999999998</v>
      </c>
      <c r="T14" s="107">
        <f>R12-T12-T13</f>
        <v>26333.333333333328</v>
      </c>
      <c r="U14" s="107">
        <f>S14+T14</f>
        <v>27715.833333333328</v>
      </c>
    </row>
    <row r="15" spans="1:21" x14ac:dyDescent="0.2">
      <c r="A15" s="48"/>
      <c r="B15" s="48"/>
      <c r="C15" s="48"/>
      <c r="D15" s="48"/>
      <c r="E15" s="248" t="s">
        <v>236</v>
      </c>
      <c r="F15" s="249"/>
      <c r="G15" s="107">
        <f>SUM(G9:G14)</f>
        <v>31239</v>
      </c>
      <c r="H15" s="107">
        <f>SUM(H9:H14)</f>
        <v>170000</v>
      </c>
      <c r="I15" s="107">
        <f>SUM(I9:I14)</f>
        <v>201239</v>
      </c>
      <c r="J15" s="48"/>
      <c r="K15" s="248" t="s">
        <v>236</v>
      </c>
      <c r="L15" s="249"/>
      <c r="M15" s="107">
        <f>SUM(M9:M14)</f>
        <v>30608.087499999998</v>
      </c>
      <c r="N15" s="107">
        <f>SUM(N9:N14)</f>
        <v>164000</v>
      </c>
      <c r="O15" s="107">
        <f>SUM(O9:O14)</f>
        <v>200608.08750000002</v>
      </c>
      <c r="Q15" s="248" t="s">
        <v>236</v>
      </c>
      <c r="R15" s="249"/>
      <c r="S15" s="107">
        <f>SUM(S9:S14)</f>
        <v>30608.087499999998</v>
      </c>
      <c r="T15" s="107">
        <f>SUM(T9:T14)</f>
        <v>170000</v>
      </c>
      <c r="U15" s="107">
        <f>SUM(U9:U14)</f>
        <v>200608.08750000002</v>
      </c>
    </row>
    <row r="16" spans="1:21" x14ac:dyDescent="0.2">
      <c r="A16" s="48"/>
      <c r="B16" s="48"/>
      <c r="C16" s="48"/>
      <c r="D16" s="48"/>
      <c r="E16" s="48"/>
      <c r="F16" s="48"/>
      <c r="G16" s="48"/>
      <c r="H16" s="48"/>
      <c r="I16" s="48"/>
      <c r="J16" s="48"/>
    </row>
    <row r="17" spans="1:13" x14ac:dyDescent="0.2">
      <c r="A17" s="48"/>
      <c r="B17" s="48"/>
      <c r="C17" s="48"/>
      <c r="D17" s="48" t="s">
        <v>237</v>
      </c>
      <c r="E17" s="48"/>
      <c r="F17" s="48"/>
      <c r="G17" s="48"/>
      <c r="H17" s="48"/>
      <c r="I17" s="48"/>
      <c r="J17" s="48"/>
      <c r="M17" s="105">
        <f>O15-170000+2500</f>
        <v>33108.087500000023</v>
      </c>
    </row>
    <row r="18" spans="1:13" x14ac:dyDescent="0.2">
      <c r="A18" s="48"/>
      <c r="B18" s="48"/>
      <c r="C18" s="48"/>
      <c r="D18" s="48"/>
      <c r="E18" s="98" t="s">
        <v>229</v>
      </c>
      <c r="F18" s="99" t="s">
        <v>230</v>
      </c>
      <c r="G18" s="99" t="s">
        <v>165</v>
      </c>
      <c r="H18" s="99" t="s">
        <v>231</v>
      </c>
      <c r="I18" s="99" t="s">
        <v>232</v>
      </c>
      <c r="J18" s="48"/>
    </row>
    <row r="19" spans="1:13" x14ac:dyDescent="0.2">
      <c r="A19" s="48"/>
      <c r="B19" s="48"/>
      <c r="C19" s="48"/>
      <c r="D19" s="48"/>
      <c r="E19" s="102">
        <v>1</v>
      </c>
      <c r="F19" s="107">
        <f>$B$1</f>
        <v>170000</v>
      </c>
      <c r="G19" s="108">
        <f>F19*$B$2</f>
        <v>8925</v>
      </c>
      <c r="H19" s="103">
        <v>0</v>
      </c>
      <c r="I19" s="107">
        <f>G19+H19</f>
        <v>8925</v>
      </c>
      <c r="J19" s="48"/>
    </row>
    <row r="20" spans="1:13" x14ac:dyDescent="0.2">
      <c r="A20" s="48"/>
      <c r="B20" s="48"/>
      <c r="C20" s="48"/>
      <c r="D20" s="48"/>
      <c r="E20" s="102">
        <v>2</v>
      </c>
      <c r="F20" s="107">
        <f t="shared" ref="F20:F24" si="9">$B$1</f>
        <v>170000</v>
      </c>
      <c r="G20" s="108">
        <f t="shared" ref="G20:G24" si="10">F20*$B$2</f>
        <v>8925</v>
      </c>
      <c r="H20" s="103">
        <v>0</v>
      </c>
      <c r="I20" s="107">
        <f t="shared" ref="I20:I24" si="11">G20+H20</f>
        <v>8925</v>
      </c>
      <c r="J20" s="48"/>
    </row>
    <row r="21" spans="1:13" x14ac:dyDescent="0.2">
      <c r="A21" s="48"/>
      <c r="B21" s="48"/>
      <c r="C21" s="48"/>
      <c r="D21" s="48"/>
      <c r="E21" s="102">
        <v>3</v>
      </c>
      <c r="F21" s="107">
        <f t="shared" si="9"/>
        <v>170000</v>
      </c>
      <c r="G21" s="108">
        <f t="shared" si="10"/>
        <v>8925</v>
      </c>
      <c r="H21" s="103">
        <v>0</v>
      </c>
      <c r="I21" s="107">
        <f t="shared" si="11"/>
        <v>8925</v>
      </c>
      <c r="J21" s="48"/>
    </row>
    <row r="22" spans="1:13" x14ac:dyDescent="0.2">
      <c r="A22" s="48"/>
      <c r="B22" s="48"/>
      <c r="C22" s="48"/>
      <c r="D22" s="48"/>
      <c r="E22" s="102">
        <v>4</v>
      </c>
      <c r="F22" s="107">
        <f t="shared" si="9"/>
        <v>170000</v>
      </c>
      <c r="G22" s="108">
        <f t="shared" si="10"/>
        <v>8925</v>
      </c>
      <c r="H22" s="103">
        <v>0</v>
      </c>
      <c r="I22" s="107">
        <f t="shared" si="11"/>
        <v>8925</v>
      </c>
      <c r="J22" s="48"/>
    </row>
    <row r="23" spans="1:13" x14ac:dyDescent="0.2">
      <c r="A23" s="48"/>
      <c r="B23" s="48"/>
      <c r="C23" s="48"/>
      <c r="D23" s="48"/>
      <c r="E23" s="102">
        <v>5</v>
      </c>
      <c r="F23" s="107">
        <f t="shared" si="9"/>
        <v>170000</v>
      </c>
      <c r="G23" s="108">
        <f t="shared" si="10"/>
        <v>8925</v>
      </c>
      <c r="H23" s="103">
        <v>0</v>
      </c>
      <c r="I23" s="107">
        <f t="shared" si="11"/>
        <v>8925</v>
      </c>
      <c r="J23" s="48"/>
    </row>
    <row r="24" spans="1:13" x14ac:dyDescent="0.2">
      <c r="A24" s="48"/>
      <c r="B24" s="48"/>
      <c r="C24" s="48"/>
      <c r="D24" s="48"/>
      <c r="E24" s="102">
        <v>6</v>
      </c>
      <c r="F24" s="107">
        <f t="shared" si="9"/>
        <v>170000</v>
      </c>
      <c r="G24" s="108">
        <f t="shared" si="10"/>
        <v>8925</v>
      </c>
      <c r="H24" s="107">
        <f>F19</f>
        <v>170000</v>
      </c>
      <c r="I24" s="107">
        <f t="shared" si="11"/>
        <v>178925</v>
      </c>
      <c r="J24" s="48"/>
    </row>
    <row r="25" spans="1:13" x14ac:dyDescent="0.2">
      <c r="A25" s="48"/>
      <c r="B25" s="48"/>
      <c r="C25" s="48"/>
      <c r="D25" s="48"/>
      <c r="E25" s="245" t="s">
        <v>236</v>
      </c>
      <c r="F25" s="247"/>
      <c r="G25" s="107">
        <f>SUM(G19:G24)</f>
        <v>53550</v>
      </c>
      <c r="H25" s="107">
        <f>SUM(H19:H24)</f>
        <v>170000</v>
      </c>
      <c r="I25" s="107">
        <f>SUM(I19:I24)</f>
        <v>223550</v>
      </c>
      <c r="J25" s="48"/>
    </row>
    <row r="26" spans="1:13" x14ac:dyDescent="0.2">
      <c r="A26" s="48"/>
      <c r="B26" s="48"/>
      <c r="C26" s="48"/>
      <c r="D26" s="48"/>
      <c r="E26" s="48"/>
      <c r="F26" s="48"/>
      <c r="G26" s="48"/>
      <c r="H26" s="48"/>
      <c r="I26" s="48"/>
      <c r="J26" s="48"/>
    </row>
    <row r="27" spans="1:13" x14ac:dyDescent="0.2">
      <c r="A27" s="48"/>
      <c r="B27" s="48"/>
      <c r="C27" s="48"/>
      <c r="D27" s="48" t="s">
        <v>238</v>
      </c>
      <c r="E27" s="48"/>
      <c r="F27" s="48"/>
      <c r="G27" s="48"/>
      <c r="H27" s="48"/>
      <c r="I27" s="48"/>
      <c r="J27" s="48"/>
    </row>
    <row r="28" spans="1:13" x14ac:dyDescent="0.2">
      <c r="A28" s="48"/>
      <c r="B28" s="48"/>
      <c r="C28" s="48"/>
      <c r="D28" s="48"/>
      <c r="E28" s="98" t="s">
        <v>229</v>
      </c>
      <c r="F28" s="99" t="s">
        <v>230</v>
      </c>
      <c r="G28" s="99" t="s">
        <v>165</v>
      </c>
      <c r="H28" s="99" t="s">
        <v>231</v>
      </c>
      <c r="I28" s="99" t="s">
        <v>232</v>
      </c>
      <c r="J28" s="48"/>
    </row>
    <row r="29" spans="1:13" x14ac:dyDescent="0.2">
      <c r="A29" s="48"/>
      <c r="B29" s="48"/>
      <c r="C29" s="48"/>
      <c r="D29" s="48"/>
      <c r="E29" s="102">
        <v>1</v>
      </c>
      <c r="F29" s="107">
        <f>B1</f>
        <v>170000</v>
      </c>
      <c r="G29" s="108">
        <v>8925</v>
      </c>
      <c r="H29" s="107">
        <v>24836</v>
      </c>
      <c r="I29" s="107">
        <f>$C$31</f>
        <v>33761.221455897889</v>
      </c>
      <c r="J29" s="48"/>
    </row>
    <row r="30" spans="1:13" x14ac:dyDescent="0.2">
      <c r="A30" s="48"/>
      <c r="B30" s="48"/>
      <c r="C30" s="48"/>
      <c r="D30" s="48"/>
      <c r="E30" s="102">
        <v>2</v>
      </c>
      <c r="F30" s="107">
        <f>F29-H29</f>
        <v>145164</v>
      </c>
      <c r="G30" s="108">
        <v>7621</v>
      </c>
      <c r="H30" s="107">
        <v>26140</v>
      </c>
      <c r="I30" s="107">
        <f t="shared" ref="I30:I34" si="12">$C$31</f>
        <v>33761.221455897889</v>
      </c>
      <c r="J30" s="48"/>
    </row>
    <row r="31" spans="1:13" x14ac:dyDescent="0.2">
      <c r="A31" s="48"/>
      <c r="B31" s="48" t="s">
        <v>240</v>
      </c>
      <c r="C31" s="110">
        <f>B1*B2/(1-(1+B2)^-B3)</f>
        <v>33761.221455897889</v>
      </c>
      <c r="D31" s="48"/>
      <c r="E31" s="102">
        <v>3</v>
      </c>
      <c r="F31" s="107">
        <f t="shared" ref="F31:F34" si="13">F30-H30</f>
        <v>119024</v>
      </c>
      <c r="G31" s="108">
        <v>6249</v>
      </c>
      <c r="H31" s="107">
        <v>27512</v>
      </c>
      <c r="I31" s="107">
        <f t="shared" si="12"/>
        <v>33761.221455897889</v>
      </c>
      <c r="J31" s="48"/>
    </row>
    <row r="32" spans="1:13" x14ac:dyDescent="0.2">
      <c r="A32" s="48"/>
      <c r="B32" s="48" t="s">
        <v>241</v>
      </c>
      <c r="C32" s="110">
        <f>B1*B2/4/(1-(1+B2/4)^-(B3*4))</f>
        <v>8303.4361992907016</v>
      </c>
      <c r="D32" s="48"/>
      <c r="E32" s="102">
        <v>4</v>
      </c>
      <c r="F32" s="107">
        <f t="shared" si="13"/>
        <v>91512</v>
      </c>
      <c r="G32" s="108">
        <v>4804</v>
      </c>
      <c r="H32" s="107">
        <v>28957</v>
      </c>
      <c r="I32" s="107">
        <f t="shared" si="12"/>
        <v>33761.221455897889</v>
      </c>
      <c r="J32" s="48"/>
    </row>
    <row r="33" spans="1:16" x14ac:dyDescent="0.2">
      <c r="A33" s="48"/>
      <c r="B33" s="48" t="s">
        <v>242</v>
      </c>
      <c r="C33" s="110">
        <f>C32*4*6</f>
        <v>199282.46878297685</v>
      </c>
      <c r="D33" s="48"/>
      <c r="E33" s="102">
        <v>5</v>
      </c>
      <c r="F33" s="107">
        <f t="shared" si="13"/>
        <v>62555</v>
      </c>
      <c r="G33" s="108">
        <v>3284</v>
      </c>
      <c r="H33" s="107">
        <v>30477</v>
      </c>
      <c r="I33" s="107">
        <f t="shared" si="12"/>
        <v>33761.221455897889</v>
      </c>
      <c r="J33" s="48"/>
      <c r="L33" s="105"/>
    </row>
    <row r="34" spans="1:16" x14ac:dyDescent="0.2">
      <c r="A34" s="48"/>
      <c r="B34" s="48"/>
      <c r="C34" s="48"/>
      <c r="D34" s="48"/>
      <c r="E34" s="102">
        <v>6</v>
      </c>
      <c r="F34" s="107">
        <f t="shared" si="13"/>
        <v>32078</v>
      </c>
      <c r="G34" s="108">
        <v>1684</v>
      </c>
      <c r="H34" s="107">
        <v>32078</v>
      </c>
      <c r="I34" s="107">
        <f t="shared" si="12"/>
        <v>33761.221455897889</v>
      </c>
      <c r="J34" s="48"/>
    </row>
    <row r="35" spans="1:16" x14ac:dyDescent="0.2">
      <c r="A35" s="48"/>
      <c r="B35" s="48"/>
      <c r="C35" s="110"/>
      <c r="D35" s="48"/>
      <c r="E35" s="245" t="s">
        <v>236</v>
      </c>
      <c r="F35" s="247"/>
      <c r="G35" s="107">
        <f>SUM(G29:G34)</f>
        <v>32567</v>
      </c>
      <c r="H35" s="107">
        <f>SUM(H29:H34)</f>
        <v>170000</v>
      </c>
      <c r="I35" s="107">
        <f>SUM(I29:I34)</f>
        <v>202567.32873538736</v>
      </c>
      <c r="J35" s="48"/>
    </row>
    <row r="36" spans="1:16" x14ac:dyDescent="0.2">
      <c r="A36" s="48"/>
      <c r="B36" s="48"/>
      <c r="C36" s="110"/>
      <c r="D36" s="48"/>
      <c r="E36" s="48"/>
      <c r="F36" s="48"/>
      <c r="G36" s="48"/>
      <c r="H36" s="48"/>
      <c r="I36" s="48"/>
      <c r="J36" s="48"/>
    </row>
    <row r="38" spans="1:16" x14ac:dyDescent="0.2">
      <c r="B38" s="48"/>
      <c r="C38" s="48"/>
      <c r="D38" s="48" t="s">
        <v>238</v>
      </c>
      <c r="E38" s="48"/>
      <c r="F38" s="48"/>
      <c r="G38" s="48"/>
      <c r="H38" s="48"/>
      <c r="I38" s="48"/>
      <c r="K38" s="48" t="s">
        <v>316</v>
      </c>
      <c r="L38" s="48"/>
      <c r="M38" s="48"/>
      <c r="N38" s="48"/>
      <c r="O38" s="48"/>
      <c r="P38" s="48"/>
    </row>
    <row r="39" spans="1:16" x14ac:dyDescent="0.2">
      <c r="B39" s="48"/>
      <c r="C39" s="48"/>
      <c r="D39" s="48"/>
      <c r="E39" s="98" t="s">
        <v>229</v>
      </c>
      <c r="F39" s="99" t="s">
        <v>230</v>
      </c>
      <c r="G39" s="99" t="s">
        <v>165</v>
      </c>
      <c r="H39" s="99" t="s">
        <v>231</v>
      </c>
      <c r="I39" s="99" t="s">
        <v>232</v>
      </c>
      <c r="K39" s="48"/>
      <c r="L39" s="98" t="s">
        <v>317</v>
      </c>
      <c r="M39" s="99" t="s">
        <v>230</v>
      </c>
      <c r="N39" s="99" t="s">
        <v>165</v>
      </c>
      <c r="O39" s="99" t="s">
        <v>231</v>
      </c>
      <c r="P39" s="99" t="s">
        <v>232</v>
      </c>
    </row>
    <row r="40" spans="1:16" x14ac:dyDescent="0.2">
      <c r="B40" s="48"/>
      <c r="C40" s="48"/>
      <c r="D40" s="48"/>
      <c r="E40" s="102">
        <v>1</v>
      </c>
      <c r="F40" s="107">
        <v>70000</v>
      </c>
      <c r="G40" s="108">
        <f>F40*5.25%</f>
        <v>3675</v>
      </c>
      <c r="H40" s="107">
        <f>I40-G40</f>
        <v>34104.750304506713</v>
      </c>
      <c r="I40" s="107">
        <f>$C$42</f>
        <v>37779.750304506713</v>
      </c>
      <c r="K40" s="48"/>
      <c r="L40" s="102">
        <v>1</v>
      </c>
      <c r="M40" s="107">
        <v>70000</v>
      </c>
      <c r="N40" s="108">
        <f>M40*5.25%/4</f>
        <v>918.75</v>
      </c>
      <c r="O40" s="107">
        <f>P40-N40</f>
        <v>8356.25</v>
      </c>
      <c r="P40" s="107">
        <v>9275</v>
      </c>
    </row>
    <row r="41" spans="1:16" x14ac:dyDescent="0.2">
      <c r="B41" s="48"/>
      <c r="C41" s="48"/>
      <c r="D41" s="48"/>
      <c r="E41" s="102">
        <v>2</v>
      </c>
      <c r="F41" s="107">
        <f>F40-H40</f>
        <v>35895.249695493287</v>
      </c>
      <c r="G41" s="108">
        <f>F41*5.25%</f>
        <v>1884.5006090133975</v>
      </c>
      <c r="H41" s="107">
        <f>I41-G41</f>
        <v>35895.249695493316</v>
      </c>
      <c r="I41" s="107">
        <f>$C$42</f>
        <v>37779.750304506713</v>
      </c>
      <c r="K41" s="48"/>
      <c r="L41" s="102">
        <v>2</v>
      </c>
      <c r="M41" s="107">
        <f>M40-O40</f>
        <v>61643.75</v>
      </c>
      <c r="N41" s="108">
        <f t="shared" ref="N41:N47" si="14">M41*5.25%/4</f>
        <v>809.07421875</v>
      </c>
      <c r="O41" s="107">
        <f>P41-N41</f>
        <v>8465.92578125</v>
      </c>
      <c r="P41" s="107">
        <v>9275</v>
      </c>
    </row>
    <row r="42" spans="1:16" x14ac:dyDescent="0.2">
      <c r="B42" s="48" t="s">
        <v>240</v>
      </c>
      <c r="C42" s="110">
        <f>70000*B2/(1-(1+B2)^-2)</f>
        <v>37779.750304506713</v>
      </c>
      <c r="D42" s="48"/>
      <c r="E42" s="102"/>
      <c r="F42" s="107"/>
      <c r="G42" s="108"/>
      <c r="H42" s="107"/>
      <c r="I42" s="107"/>
      <c r="K42" s="48"/>
      <c r="L42" s="102">
        <v>3</v>
      </c>
      <c r="M42" s="107">
        <f t="shared" ref="M42:M47" si="15">M41-O41</f>
        <v>53177.82421875</v>
      </c>
      <c r="N42" s="108">
        <f t="shared" si="14"/>
        <v>697.95894287109377</v>
      </c>
      <c r="O42" s="107">
        <f t="shared" ref="O42:O46" si="16">P42-N42</f>
        <v>8577.0410571289067</v>
      </c>
      <c r="P42" s="107">
        <v>9275</v>
      </c>
    </row>
    <row r="43" spans="1:16" x14ac:dyDescent="0.2">
      <c r="B43" s="48" t="s">
        <v>241</v>
      </c>
      <c r="C43" s="110">
        <f>70000*B2/4/(1-(1+B2/4)^-(2*4))</f>
        <v>9274.6573972912411</v>
      </c>
      <c r="D43" s="48"/>
      <c r="E43" s="102"/>
      <c r="F43" s="107"/>
      <c r="G43" s="108"/>
      <c r="H43" s="107"/>
      <c r="I43" s="107"/>
      <c r="K43" s="48"/>
      <c r="L43" s="102">
        <v>4</v>
      </c>
      <c r="M43" s="107">
        <f t="shared" si="15"/>
        <v>44600.78316162109</v>
      </c>
      <c r="N43" s="108">
        <f t="shared" si="14"/>
        <v>585.38527899627672</v>
      </c>
      <c r="O43" s="107">
        <f t="shared" si="16"/>
        <v>8689.6147210037234</v>
      </c>
      <c r="P43" s="107">
        <v>9275</v>
      </c>
    </row>
    <row r="44" spans="1:16" x14ac:dyDescent="0.2">
      <c r="B44" s="48" t="s">
        <v>242</v>
      </c>
      <c r="C44" s="110">
        <f>C43*4*6</f>
        <v>222591.77753498979</v>
      </c>
      <c r="D44" s="48"/>
      <c r="E44" s="102"/>
      <c r="F44" s="107"/>
      <c r="G44" s="108"/>
      <c r="H44" s="107"/>
      <c r="I44" s="107"/>
      <c r="K44" s="48"/>
      <c r="L44" s="102">
        <v>5</v>
      </c>
      <c r="M44" s="107">
        <f t="shared" si="15"/>
        <v>35911.168440617366</v>
      </c>
      <c r="N44" s="108">
        <f t="shared" si="14"/>
        <v>471.33408578310292</v>
      </c>
      <c r="O44" s="107">
        <f t="shared" si="16"/>
        <v>8803.6659142168974</v>
      </c>
      <c r="P44" s="107">
        <v>9275</v>
      </c>
    </row>
    <row r="45" spans="1:16" x14ac:dyDescent="0.2">
      <c r="B45" s="48"/>
      <c r="C45" s="110"/>
      <c r="D45" s="48"/>
      <c r="E45" s="102"/>
      <c r="F45" s="107"/>
      <c r="G45" s="108"/>
      <c r="H45" s="107"/>
      <c r="I45" s="107"/>
      <c r="K45" s="48"/>
      <c r="L45" s="102">
        <v>6</v>
      </c>
      <c r="M45" s="107">
        <f t="shared" si="15"/>
        <v>27107.502526400469</v>
      </c>
      <c r="N45" s="108">
        <f t="shared" si="14"/>
        <v>355.78597065900613</v>
      </c>
      <c r="O45" s="107">
        <f t="shared" si="16"/>
        <v>8919.2140293409939</v>
      </c>
      <c r="P45" s="107">
        <v>9275</v>
      </c>
    </row>
    <row r="46" spans="1:16" x14ac:dyDescent="0.2">
      <c r="B46" s="48"/>
      <c r="C46" s="110"/>
      <c r="D46" s="48"/>
      <c r="E46" s="102"/>
      <c r="F46" s="107"/>
      <c r="G46" s="108"/>
      <c r="H46" s="107"/>
      <c r="I46" s="107"/>
      <c r="K46" s="48"/>
      <c r="L46" s="102">
        <v>7</v>
      </c>
      <c r="M46" s="107">
        <f t="shared" si="15"/>
        <v>18188.288497059475</v>
      </c>
      <c r="N46" s="108">
        <f t="shared" si="14"/>
        <v>238.7212865239056</v>
      </c>
      <c r="O46" s="107">
        <f t="shared" si="16"/>
        <v>9036.2787134760947</v>
      </c>
      <c r="P46" s="107">
        <v>9275</v>
      </c>
    </row>
    <row r="47" spans="1:16" x14ac:dyDescent="0.2">
      <c r="B47" s="48"/>
      <c r="C47" s="48"/>
      <c r="D47" s="48"/>
      <c r="E47" s="102"/>
      <c r="F47" s="107"/>
      <c r="G47" s="108"/>
      <c r="H47" s="107"/>
      <c r="I47" s="107"/>
      <c r="K47" s="48"/>
      <c r="L47" s="102">
        <v>8</v>
      </c>
      <c r="M47" s="107">
        <f t="shared" si="15"/>
        <v>9152.0097835833803</v>
      </c>
      <c r="N47" s="108">
        <f t="shared" si="14"/>
        <v>120.12012840953186</v>
      </c>
      <c r="O47" s="107">
        <f>M47</f>
        <v>9152.0097835833803</v>
      </c>
      <c r="P47" s="107">
        <v>9275</v>
      </c>
    </row>
    <row r="48" spans="1:16" x14ac:dyDescent="0.2">
      <c r="B48" s="48"/>
      <c r="C48" s="110"/>
      <c r="D48" s="48"/>
      <c r="E48" s="245" t="s">
        <v>236</v>
      </c>
      <c r="F48" s="247"/>
      <c r="G48" s="107">
        <f>SUM(G40:G47)</f>
        <v>5559.5006090133975</v>
      </c>
      <c r="H48" s="107">
        <f>SUM(H40:H47)</f>
        <v>70000.000000000029</v>
      </c>
      <c r="I48" s="107">
        <f>SUM(I40:I47)</f>
        <v>75559.500609013427</v>
      </c>
      <c r="K48" s="48"/>
      <c r="L48" s="245" t="s">
        <v>236</v>
      </c>
      <c r="M48" s="247"/>
      <c r="N48" s="107">
        <f>SUM(N40:N47)</f>
        <v>4197.1299119929172</v>
      </c>
      <c r="O48" s="107">
        <f>SUM(O40:O47)</f>
        <v>69999.999999999985</v>
      </c>
      <c r="P48" s="107">
        <f>SUM(P40:P47)</f>
        <v>74200</v>
      </c>
    </row>
    <row r="51" spans="4:15" x14ac:dyDescent="0.2">
      <c r="D51" t="s">
        <v>317</v>
      </c>
      <c r="O51" s="105">
        <f>N48+O48</f>
        <v>74197.129911992903</v>
      </c>
    </row>
    <row r="52" spans="4:15" x14ac:dyDescent="0.2">
      <c r="E52" s="98" t="s">
        <v>229</v>
      </c>
      <c r="F52" s="99" t="s">
        <v>230</v>
      </c>
      <c r="G52" s="99" t="s">
        <v>165</v>
      </c>
      <c r="H52" s="99" t="s">
        <v>231</v>
      </c>
      <c r="I52" s="99" t="s">
        <v>232</v>
      </c>
    </row>
    <row r="53" spans="4:15" x14ac:dyDescent="0.2">
      <c r="E53" s="102">
        <v>1</v>
      </c>
      <c r="F53" s="107">
        <v>170000</v>
      </c>
      <c r="G53" s="108">
        <f>F53*5.25%/4</f>
        <v>2231.25</v>
      </c>
      <c r="H53" s="107">
        <f>I53-G53</f>
        <v>6071.75</v>
      </c>
      <c r="I53" s="107">
        <v>8303</v>
      </c>
    </row>
    <row r="54" spans="4:15" x14ac:dyDescent="0.2">
      <c r="E54" s="102">
        <v>2</v>
      </c>
      <c r="F54" s="107">
        <f>F53-H53</f>
        <v>163928.25</v>
      </c>
      <c r="G54" s="108">
        <f t="shared" ref="G54:G76" si="17">F54*5.25%/4</f>
        <v>2151.5582812499997</v>
      </c>
      <c r="H54" s="107">
        <f t="shared" ref="H54:H76" si="18">I54-G54</f>
        <v>6151.4417187500003</v>
      </c>
      <c r="I54" s="107">
        <v>8303</v>
      </c>
    </row>
    <row r="55" spans="4:15" x14ac:dyDescent="0.2">
      <c r="E55" s="102">
        <v>3</v>
      </c>
      <c r="F55" s="107">
        <f t="shared" ref="F55:F76" si="19">F54-H54</f>
        <v>157776.80828125001</v>
      </c>
      <c r="G55" s="108">
        <f t="shared" si="17"/>
        <v>2070.8206086914061</v>
      </c>
      <c r="H55" s="107">
        <f t="shared" si="18"/>
        <v>6232.1793913085939</v>
      </c>
      <c r="I55" s="107">
        <v>8303</v>
      </c>
    </row>
    <row r="56" spans="4:15" x14ac:dyDescent="0.2">
      <c r="E56" s="102">
        <v>4</v>
      </c>
      <c r="F56" s="107">
        <f t="shared" si="19"/>
        <v>151544.62888994141</v>
      </c>
      <c r="G56" s="108">
        <f t="shared" si="17"/>
        <v>1989.023254180481</v>
      </c>
      <c r="H56" s="107">
        <f t="shared" si="18"/>
        <v>6313.9767458195192</v>
      </c>
      <c r="I56" s="107">
        <v>8303</v>
      </c>
    </row>
    <row r="57" spans="4:15" x14ac:dyDescent="0.2">
      <c r="E57" s="102">
        <v>5</v>
      </c>
      <c r="F57" s="107">
        <f t="shared" si="19"/>
        <v>145230.65214412188</v>
      </c>
      <c r="G57" s="108">
        <f t="shared" si="17"/>
        <v>1906.1523093915996</v>
      </c>
      <c r="H57" s="107">
        <f t="shared" si="18"/>
        <v>6396.8476906084006</v>
      </c>
      <c r="I57" s="107">
        <v>8303</v>
      </c>
    </row>
    <row r="58" spans="4:15" x14ac:dyDescent="0.2">
      <c r="E58" s="102">
        <v>6</v>
      </c>
      <c r="F58" s="107">
        <f t="shared" si="19"/>
        <v>138833.80445351347</v>
      </c>
      <c r="G58" s="108">
        <f t="shared" si="17"/>
        <v>1822.1936834523642</v>
      </c>
      <c r="H58" s="107">
        <f t="shared" si="18"/>
        <v>6480.806316547636</v>
      </c>
      <c r="I58" s="107">
        <v>8303</v>
      </c>
    </row>
    <row r="59" spans="4:15" x14ac:dyDescent="0.2">
      <c r="E59" s="102">
        <v>7</v>
      </c>
      <c r="F59" s="107">
        <f t="shared" si="19"/>
        <v>132352.99813696582</v>
      </c>
      <c r="G59" s="108">
        <f t="shared" si="17"/>
        <v>1737.1331005476763</v>
      </c>
      <c r="H59" s="107">
        <f t="shared" si="18"/>
        <v>6565.8668994523232</v>
      </c>
      <c r="I59" s="107">
        <v>8303</v>
      </c>
    </row>
    <row r="60" spans="4:15" x14ac:dyDescent="0.2">
      <c r="E60" s="102">
        <v>8</v>
      </c>
      <c r="F60" s="107">
        <f t="shared" si="19"/>
        <v>125787.1312375135</v>
      </c>
      <c r="G60" s="108">
        <f t="shared" si="17"/>
        <v>1650.9560974923647</v>
      </c>
      <c r="H60" s="107">
        <f t="shared" si="18"/>
        <v>6652.0439025076357</v>
      </c>
      <c r="I60" s="107">
        <v>8303</v>
      </c>
    </row>
    <row r="61" spans="4:15" x14ac:dyDescent="0.2">
      <c r="E61" s="102">
        <v>9</v>
      </c>
      <c r="F61" s="107">
        <f t="shared" si="19"/>
        <v>119135.08733500587</v>
      </c>
      <c r="G61" s="108">
        <f t="shared" si="17"/>
        <v>1563.6480212719521</v>
      </c>
      <c r="H61" s="107">
        <f t="shared" si="18"/>
        <v>6739.3519787280475</v>
      </c>
      <c r="I61" s="107">
        <v>8303</v>
      </c>
    </row>
    <row r="62" spans="4:15" x14ac:dyDescent="0.2">
      <c r="E62" s="102">
        <v>10</v>
      </c>
      <c r="F62" s="107">
        <f t="shared" si="19"/>
        <v>112395.73535627782</v>
      </c>
      <c r="G62" s="108">
        <f t="shared" si="17"/>
        <v>1475.1940265511462</v>
      </c>
      <c r="H62" s="107">
        <f t="shared" si="18"/>
        <v>6827.8059734488543</v>
      </c>
      <c r="I62" s="107">
        <v>8303</v>
      </c>
    </row>
    <row r="63" spans="4:15" x14ac:dyDescent="0.2">
      <c r="E63" s="102">
        <v>11</v>
      </c>
      <c r="F63" s="107">
        <f t="shared" si="19"/>
        <v>105567.92938282897</v>
      </c>
      <c r="G63" s="108">
        <f t="shared" si="17"/>
        <v>1385.5790731496302</v>
      </c>
      <c r="H63" s="107">
        <f t="shared" si="18"/>
        <v>6917.4209268503701</v>
      </c>
      <c r="I63" s="107">
        <v>8303</v>
      </c>
    </row>
    <row r="64" spans="4:15" x14ac:dyDescent="0.2">
      <c r="E64" s="102">
        <v>12</v>
      </c>
      <c r="F64" s="107">
        <f t="shared" si="19"/>
        <v>98650.50845597859</v>
      </c>
      <c r="G64" s="108">
        <f t="shared" si="17"/>
        <v>1294.7879234847189</v>
      </c>
      <c r="H64" s="107">
        <f t="shared" si="18"/>
        <v>7008.2120765152813</v>
      </c>
      <c r="I64" s="107">
        <v>8303</v>
      </c>
    </row>
    <row r="65" spans="5:9" x14ac:dyDescent="0.2">
      <c r="E65" s="102">
        <v>13</v>
      </c>
      <c r="F65" s="107">
        <f t="shared" si="19"/>
        <v>91642.296379463311</v>
      </c>
      <c r="G65" s="108">
        <f t="shared" si="17"/>
        <v>1202.8051399804558</v>
      </c>
      <c r="H65" s="107">
        <f t="shared" si="18"/>
        <v>7100.1948600195446</v>
      </c>
      <c r="I65" s="107">
        <v>8303</v>
      </c>
    </row>
    <row r="66" spans="5:9" x14ac:dyDescent="0.2">
      <c r="E66" s="102">
        <v>14</v>
      </c>
      <c r="F66" s="107">
        <f t="shared" si="19"/>
        <v>84542.101519443764</v>
      </c>
      <c r="G66" s="108">
        <f t="shared" si="17"/>
        <v>1109.6150824426993</v>
      </c>
      <c r="H66" s="107">
        <f t="shared" si="18"/>
        <v>7193.3849175573005</v>
      </c>
      <c r="I66" s="107">
        <v>8303</v>
      </c>
    </row>
    <row r="67" spans="5:9" x14ac:dyDescent="0.2">
      <c r="E67" s="102">
        <v>15</v>
      </c>
      <c r="F67" s="107">
        <f t="shared" si="19"/>
        <v>77348.716601886466</v>
      </c>
      <c r="G67" s="108">
        <f t="shared" si="17"/>
        <v>1015.2019053997599</v>
      </c>
      <c r="H67" s="107">
        <f t="shared" si="18"/>
        <v>7287.7980946002399</v>
      </c>
      <c r="I67" s="107">
        <v>8303</v>
      </c>
    </row>
    <row r="68" spans="5:9" x14ac:dyDescent="0.2">
      <c r="E68" s="102">
        <v>16</v>
      </c>
      <c r="F68" s="107">
        <f t="shared" si="19"/>
        <v>70060.918507286231</v>
      </c>
      <c r="G68" s="108">
        <f t="shared" si="17"/>
        <v>919.54955540813171</v>
      </c>
      <c r="H68" s="107">
        <f t="shared" si="18"/>
        <v>7383.4504445918683</v>
      </c>
      <c r="I68" s="107">
        <v>8303</v>
      </c>
    </row>
    <row r="69" spans="5:9" x14ac:dyDescent="0.2">
      <c r="E69" s="102">
        <v>17</v>
      </c>
      <c r="F69" s="107">
        <f t="shared" si="19"/>
        <v>62677.468062694359</v>
      </c>
      <c r="G69" s="108">
        <f t="shared" si="17"/>
        <v>822.64176832286341</v>
      </c>
      <c r="H69" s="107">
        <f t="shared" si="18"/>
        <v>7480.3582316771362</v>
      </c>
      <c r="I69" s="107">
        <v>8303</v>
      </c>
    </row>
    <row r="70" spans="5:9" x14ac:dyDescent="0.2">
      <c r="E70" s="102">
        <v>18</v>
      </c>
      <c r="F70" s="107">
        <f t="shared" si="19"/>
        <v>55197.109831017224</v>
      </c>
      <c r="G70" s="108">
        <f t="shared" si="17"/>
        <v>724.46206653210106</v>
      </c>
      <c r="H70" s="107">
        <f t="shared" si="18"/>
        <v>7578.5379334678992</v>
      </c>
      <c r="I70" s="107">
        <v>8303</v>
      </c>
    </row>
    <row r="71" spans="5:9" x14ac:dyDescent="0.2">
      <c r="E71" s="102">
        <v>19</v>
      </c>
      <c r="F71" s="107">
        <f t="shared" si="19"/>
        <v>47618.571897549322</v>
      </c>
      <c r="G71" s="108">
        <f t="shared" si="17"/>
        <v>624.99375615533484</v>
      </c>
      <c r="H71" s="107">
        <f t="shared" si="18"/>
        <v>7678.0062438446648</v>
      </c>
      <c r="I71" s="107">
        <v>8303</v>
      </c>
    </row>
    <row r="72" spans="5:9" x14ac:dyDescent="0.2">
      <c r="E72" s="102">
        <v>20</v>
      </c>
      <c r="F72" s="107">
        <f t="shared" si="19"/>
        <v>39940.56565370466</v>
      </c>
      <c r="G72" s="108">
        <f t="shared" si="17"/>
        <v>524.21992420487368</v>
      </c>
      <c r="H72" s="107">
        <f t="shared" si="18"/>
        <v>7778.7800757951263</v>
      </c>
      <c r="I72" s="107">
        <v>8303</v>
      </c>
    </row>
    <row r="73" spans="5:9" x14ac:dyDescent="0.2">
      <c r="E73" s="102">
        <v>21</v>
      </c>
      <c r="F73" s="107">
        <f t="shared" si="19"/>
        <v>32161.785577909533</v>
      </c>
      <c r="G73" s="108">
        <f t="shared" si="17"/>
        <v>422.12343571006261</v>
      </c>
      <c r="H73" s="107">
        <f t="shared" si="18"/>
        <v>7880.8765642899371</v>
      </c>
      <c r="I73" s="107">
        <v>8303</v>
      </c>
    </row>
    <row r="74" spans="5:9" x14ac:dyDescent="0.2">
      <c r="E74" s="102">
        <v>22</v>
      </c>
      <c r="F74" s="107">
        <f t="shared" si="19"/>
        <v>24280.909013619595</v>
      </c>
      <c r="G74" s="108">
        <f t="shared" si="17"/>
        <v>318.68693080375721</v>
      </c>
      <c r="H74" s="107">
        <f t="shared" si="18"/>
        <v>7984.3130691962424</v>
      </c>
      <c r="I74" s="107">
        <v>8303</v>
      </c>
    </row>
    <row r="75" spans="5:9" x14ac:dyDescent="0.2">
      <c r="E75" s="102">
        <v>23</v>
      </c>
      <c r="F75" s="107">
        <f t="shared" si="19"/>
        <v>16296.595944423352</v>
      </c>
      <c r="G75" s="108">
        <f t="shared" si="17"/>
        <v>213.89282177055648</v>
      </c>
      <c r="H75" s="107">
        <f t="shared" si="18"/>
        <v>8089.1071782294439</v>
      </c>
      <c r="I75" s="107">
        <v>8303</v>
      </c>
    </row>
    <row r="76" spans="5:9" x14ac:dyDescent="0.2">
      <c r="E76" s="102">
        <v>24</v>
      </c>
      <c r="F76" s="107">
        <f t="shared" si="19"/>
        <v>8207.4887661939083</v>
      </c>
      <c r="G76" s="108">
        <f t="shared" si="17"/>
        <v>107.72329005629504</v>
      </c>
      <c r="H76" s="107">
        <f t="shared" si="18"/>
        <v>8195.2767099437042</v>
      </c>
      <c r="I76" s="107">
        <v>8303</v>
      </c>
    </row>
    <row r="77" spans="5:9" x14ac:dyDescent="0.2">
      <c r="E77" s="250" t="s">
        <v>16</v>
      </c>
      <c r="F77" s="250"/>
      <c r="G77" s="105">
        <f>SUM(G53:G76)</f>
        <v>29284.212056250239</v>
      </c>
      <c r="H77" s="105">
        <f>SUM(H53:H76)</f>
        <v>169987.78794374975</v>
      </c>
      <c r="I77" s="105">
        <f>SUM(I53:I76)</f>
        <v>199272</v>
      </c>
    </row>
  </sheetData>
  <mergeCells count="8">
    <mergeCell ref="Q15:R15"/>
    <mergeCell ref="E48:F48"/>
    <mergeCell ref="L48:M48"/>
    <mergeCell ref="E77:F77"/>
    <mergeCell ref="E15:F15"/>
    <mergeCell ref="E25:F25"/>
    <mergeCell ref="E35:F35"/>
    <mergeCell ref="K15:L1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4917E-7909-5245-9696-D4E9F57C7525}">
  <dimension ref="A1:C13"/>
  <sheetViews>
    <sheetView workbookViewId="0">
      <selection activeCell="E12" sqref="E12"/>
    </sheetView>
  </sheetViews>
  <sheetFormatPr baseColWidth="10" defaultRowHeight="16" x14ac:dyDescent="0.2"/>
  <cols>
    <col min="2" max="2" width="13.83203125" customWidth="1"/>
    <col min="3" max="3" width="12.5" bestFit="1" customWidth="1"/>
  </cols>
  <sheetData>
    <row r="1" spans="1:3" x14ac:dyDescent="0.2">
      <c r="A1" t="s">
        <v>292</v>
      </c>
    </row>
    <row r="3" spans="1:3" x14ac:dyDescent="0.2">
      <c r="A3" t="s">
        <v>293</v>
      </c>
    </row>
    <row r="5" spans="1:3" x14ac:dyDescent="0.2">
      <c r="A5" t="s">
        <v>168</v>
      </c>
      <c r="B5">
        <f>144*1250</f>
        <v>180000</v>
      </c>
    </row>
    <row r="7" spans="1:3" x14ac:dyDescent="0.2">
      <c r="A7" t="s">
        <v>294</v>
      </c>
      <c r="C7" s="84">
        <f>B5*100/70</f>
        <v>257142.85714285713</v>
      </c>
    </row>
    <row r="12" spans="1:3" x14ac:dyDescent="0.2">
      <c r="A12" t="s">
        <v>239</v>
      </c>
      <c r="B12">
        <f>B5*5%</f>
        <v>9000</v>
      </c>
    </row>
    <row r="13" spans="1:3" x14ac:dyDescent="0.2">
      <c r="A13" t="s">
        <v>295</v>
      </c>
      <c r="B13">
        <f>B12/(1-(1+5%)^-12)</f>
        <v>20308.573803746771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A2CDF-4D4A-4047-A14F-993070658B51}">
  <dimension ref="A1:I39"/>
  <sheetViews>
    <sheetView topLeftCell="A3" zoomScale="125" workbookViewId="0">
      <selection activeCell="L25" sqref="L25"/>
    </sheetView>
  </sheetViews>
  <sheetFormatPr baseColWidth="10" defaultRowHeight="16" x14ac:dyDescent="0.2"/>
  <cols>
    <col min="2" max="2" width="12.5" customWidth="1"/>
    <col min="6" max="6" width="14.33203125" customWidth="1"/>
    <col min="7" max="7" width="14.5" customWidth="1"/>
    <col min="8" max="8" width="14.1640625" customWidth="1"/>
    <col min="9" max="9" width="14.33203125" customWidth="1"/>
  </cols>
  <sheetData>
    <row r="1" spans="1:9" x14ac:dyDescent="0.2">
      <c r="A1" s="48" t="s">
        <v>168</v>
      </c>
      <c r="B1" s="106">
        <f>733720*0.25</f>
        <v>183430</v>
      </c>
      <c r="C1" s="48"/>
      <c r="D1" s="48"/>
      <c r="E1" s="48"/>
      <c r="F1" s="48"/>
      <c r="G1" s="48"/>
      <c r="H1" s="48"/>
      <c r="I1" s="48"/>
    </row>
    <row r="2" spans="1:9" x14ac:dyDescent="0.2">
      <c r="A2" s="48" t="s">
        <v>225</v>
      </c>
      <c r="B2" s="104">
        <v>4.1500000000000002E-2</v>
      </c>
      <c r="C2" s="48"/>
      <c r="D2" s="48"/>
      <c r="E2" s="48"/>
      <c r="F2" s="48"/>
      <c r="G2" s="48"/>
      <c r="H2" s="48"/>
      <c r="I2" s="48"/>
    </row>
    <row r="3" spans="1:9" x14ac:dyDescent="0.2">
      <c r="A3" s="48" t="s">
        <v>226</v>
      </c>
      <c r="B3" s="48">
        <v>6</v>
      </c>
      <c r="C3" s="48"/>
      <c r="D3" s="48"/>
      <c r="E3" s="48"/>
      <c r="F3" s="48"/>
      <c r="G3" s="48"/>
      <c r="H3" s="48"/>
      <c r="I3" s="48"/>
    </row>
    <row r="4" spans="1:9" x14ac:dyDescent="0.2">
      <c r="A4" s="48" t="s">
        <v>239</v>
      </c>
      <c r="B4" s="106">
        <f>B1/B3</f>
        <v>30571.666666666668</v>
      </c>
      <c r="C4" s="48"/>
      <c r="D4" s="48"/>
      <c r="E4" s="48"/>
      <c r="F4" s="48"/>
      <c r="G4" s="48"/>
      <c r="H4" s="48"/>
      <c r="I4" s="48"/>
    </row>
    <row r="5" spans="1:9" x14ac:dyDescent="0.2">
      <c r="A5" s="48"/>
      <c r="B5" s="48"/>
      <c r="C5" s="48"/>
      <c r="D5" s="48"/>
      <c r="E5" s="48"/>
      <c r="F5" s="48"/>
      <c r="G5" s="48"/>
      <c r="H5" s="48"/>
      <c r="I5" s="48"/>
    </row>
    <row r="6" spans="1:9" x14ac:dyDescent="0.2">
      <c r="A6" s="48" t="s">
        <v>227</v>
      </c>
      <c r="B6" s="105">
        <f>B1*(1+B2)^B3</f>
        <v>234113.25959881634</v>
      </c>
      <c r="C6" s="48"/>
      <c r="D6" s="48" t="s">
        <v>228</v>
      </c>
      <c r="E6" s="48"/>
      <c r="F6" s="48"/>
      <c r="G6" s="48"/>
      <c r="H6" s="48"/>
      <c r="I6" s="48"/>
    </row>
    <row r="7" spans="1:9" x14ac:dyDescent="0.2">
      <c r="A7" s="48" t="s">
        <v>277</v>
      </c>
      <c r="B7" s="106">
        <f>B6-B1</f>
        <v>50683.259598816338</v>
      </c>
      <c r="C7" s="48"/>
      <c r="D7" s="48"/>
      <c r="E7" s="98" t="s">
        <v>229</v>
      </c>
      <c r="F7" s="99" t="s">
        <v>230</v>
      </c>
      <c r="G7" s="99" t="s">
        <v>165</v>
      </c>
      <c r="H7" s="99" t="s">
        <v>231</v>
      </c>
      <c r="I7" s="99" t="s">
        <v>232</v>
      </c>
    </row>
    <row r="8" spans="1:9" x14ac:dyDescent="0.2">
      <c r="A8" s="48"/>
      <c r="B8" s="48"/>
      <c r="C8" s="48"/>
      <c r="D8" s="48"/>
      <c r="E8" s="100"/>
      <c r="F8" s="101"/>
      <c r="G8" s="64" t="s">
        <v>233</v>
      </c>
      <c r="H8" s="64" t="s">
        <v>234</v>
      </c>
      <c r="I8" s="64" t="s">
        <v>235</v>
      </c>
    </row>
    <row r="9" spans="1:9" x14ac:dyDescent="0.2">
      <c r="A9" s="48"/>
      <c r="B9" s="48"/>
      <c r="C9" s="48"/>
      <c r="D9" s="48"/>
      <c r="E9" s="102">
        <v>1</v>
      </c>
      <c r="F9" s="107">
        <f>B1</f>
        <v>183430</v>
      </c>
      <c r="G9" s="108">
        <f>F9*$B$2</f>
        <v>7612.3450000000003</v>
      </c>
      <c r="H9" s="107">
        <v>30572</v>
      </c>
      <c r="I9" s="107">
        <f>G9+H9</f>
        <v>38184.345000000001</v>
      </c>
    </row>
    <row r="10" spans="1:9" x14ac:dyDescent="0.2">
      <c r="A10" s="48"/>
      <c r="B10" s="48"/>
      <c r="C10" s="48"/>
      <c r="D10" s="48"/>
      <c r="E10" s="102">
        <v>2</v>
      </c>
      <c r="F10" s="107">
        <f>F9-H9</f>
        <v>152858</v>
      </c>
      <c r="G10" s="108">
        <f t="shared" ref="G10:G14" si="0">F10*$B$2</f>
        <v>6343.607</v>
      </c>
      <c r="H10" s="107">
        <v>30572</v>
      </c>
      <c r="I10" s="107">
        <f t="shared" ref="I10:I11" si="1">G10+H10</f>
        <v>36915.607000000004</v>
      </c>
    </row>
    <row r="11" spans="1:9" x14ac:dyDescent="0.2">
      <c r="A11" s="48"/>
      <c r="B11" s="48"/>
      <c r="C11" s="48"/>
      <c r="D11" s="48"/>
      <c r="E11" s="102">
        <v>3</v>
      </c>
      <c r="F11" s="107">
        <f>F10-H10</f>
        <v>122286</v>
      </c>
      <c r="G11" s="108">
        <f t="shared" si="0"/>
        <v>5074.8690000000006</v>
      </c>
      <c r="H11" s="107">
        <v>30572</v>
      </c>
      <c r="I11" s="107">
        <f t="shared" si="1"/>
        <v>35646.868999999999</v>
      </c>
    </row>
    <row r="12" spans="1:9" x14ac:dyDescent="0.2">
      <c r="A12" s="48"/>
      <c r="B12" s="48"/>
      <c r="C12" s="48"/>
      <c r="D12" s="48"/>
      <c r="E12" s="102">
        <v>4</v>
      </c>
      <c r="F12" s="107">
        <f>F11-H11</f>
        <v>91714</v>
      </c>
      <c r="G12" s="108">
        <f t="shared" si="0"/>
        <v>3806.1310000000003</v>
      </c>
      <c r="H12" s="107">
        <v>30572</v>
      </c>
      <c r="I12" s="107">
        <f>G12+H12</f>
        <v>34378.131000000001</v>
      </c>
    </row>
    <row r="13" spans="1:9" x14ac:dyDescent="0.2">
      <c r="A13" s="48"/>
      <c r="B13" s="48"/>
      <c r="C13" s="48"/>
      <c r="D13" s="48"/>
      <c r="E13" s="102">
        <v>5</v>
      </c>
      <c r="F13" s="107">
        <f t="shared" ref="F13:F14" si="2">F12-H12</f>
        <v>61142</v>
      </c>
      <c r="G13" s="108">
        <f t="shared" si="0"/>
        <v>2537.393</v>
      </c>
      <c r="H13" s="107">
        <v>30572</v>
      </c>
      <c r="I13" s="107">
        <f t="shared" ref="I13:I14" si="3">G13+H13</f>
        <v>33109.392999999996</v>
      </c>
    </row>
    <row r="14" spans="1:9" x14ac:dyDescent="0.2">
      <c r="A14" s="48"/>
      <c r="B14" s="48"/>
      <c r="C14" s="48"/>
      <c r="D14" s="48"/>
      <c r="E14" s="109">
        <v>6</v>
      </c>
      <c r="F14" s="107">
        <f t="shared" si="2"/>
        <v>30570</v>
      </c>
      <c r="G14" s="108">
        <f t="shared" si="0"/>
        <v>1268.655</v>
      </c>
      <c r="H14" s="107">
        <v>30570</v>
      </c>
      <c r="I14" s="107">
        <f t="shared" si="3"/>
        <v>31838.654999999999</v>
      </c>
    </row>
    <row r="15" spans="1:9" x14ac:dyDescent="0.2">
      <c r="A15" s="48"/>
      <c r="B15" s="48"/>
      <c r="C15" s="48"/>
      <c r="D15" s="48"/>
      <c r="E15" s="248" t="s">
        <v>236</v>
      </c>
      <c r="F15" s="249"/>
      <c r="G15" s="107">
        <f>SUM(G9:G14)</f>
        <v>26643.000000000004</v>
      </c>
      <c r="H15" s="107">
        <f>SUM(H9:H14)</f>
        <v>183430</v>
      </c>
      <c r="I15" s="107">
        <f>SUM(I9:I14)</f>
        <v>210072.99999999997</v>
      </c>
    </row>
    <row r="16" spans="1:9" x14ac:dyDescent="0.2">
      <c r="A16" s="48"/>
      <c r="B16" s="48"/>
      <c r="C16" s="48"/>
      <c r="D16" s="48"/>
      <c r="E16" s="48"/>
      <c r="F16" s="48"/>
      <c r="G16" s="48"/>
      <c r="H16" s="48"/>
      <c r="I16" s="48"/>
    </row>
    <row r="17" spans="1:9" x14ac:dyDescent="0.2">
      <c r="A17" s="48"/>
      <c r="B17" s="48"/>
      <c r="C17" s="48"/>
      <c r="D17" s="48" t="s">
        <v>237</v>
      </c>
      <c r="E17" s="48"/>
      <c r="F17" s="48"/>
      <c r="G17" s="48"/>
      <c r="H17" s="48"/>
      <c r="I17" s="48"/>
    </row>
    <row r="18" spans="1:9" x14ac:dyDescent="0.2">
      <c r="A18" s="48"/>
      <c r="B18" s="48"/>
      <c r="C18" s="48"/>
      <c r="D18" s="48"/>
      <c r="E18" s="98" t="s">
        <v>229</v>
      </c>
      <c r="F18" s="99" t="s">
        <v>230</v>
      </c>
      <c r="G18" s="99" t="s">
        <v>165</v>
      </c>
      <c r="H18" s="99" t="s">
        <v>231</v>
      </c>
      <c r="I18" s="99" t="s">
        <v>232</v>
      </c>
    </row>
    <row r="19" spans="1:9" x14ac:dyDescent="0.2">
      <c r="A19" s="48"/>
      <c r="B19" s="48"/>
      <c r="C19" s="48"/>
      <c r="D19" s="48"/>
      <c r="E19" s="102">
        <v>1</v>
      </c>
      <c r="F19" s="107">
        <f>$B$1</f>
        <v>183430</v>
      </c>
      <c r="G19" s="108">
        <v>7612</v>
      </c>
      <c r="H19" s="103">
        <v>0</v>
      </c>
      <c r="I19" s="107">
        <f>G19+H19</f>
        <v>7612</v>
      </c>
    </row>
    <row r="20" spans="1:9" x14ac:dyDescent="0.2">
      <c r="A20" s="48"/>
      <c r="B20" s="48"/>
      <c r="C20" s="48"/>
      <c r="D20" s="48"/>
      <c r="E20" s="102">
        <v>2</v>
      </c>
      <c r="F20" s="107">
        <f t="shared" ref="F20:F24" si="4">$B$1</f>
        <v>183430</v>
      </c>
      <c r="G20" s="108">
        <v>7612</v>
      </c>
      <c r="H20" s="103">
        <v>0</v>
      </c>
      <c r="I20" s="107">
        <f t="shared" ref="I20:I24" si="5">G20+H20</f>
        <v>7612</v>
      </c>
    </row>
    <row r="21" spans="1:9" x14ac:dyDescent="0.2">
      <c r="A21" s="48"/>
      <c r="B21" s="48"/>
      <c r="C21" s="48"/>
      <c r="D21" s="48"/>
      <c r="E21" s="102">
        <v>3</v>
      </c>
      <c r="F21" s="107">
        <f t="shared" si="4"/>
        <v>183430</v>
      </c>
      <c r="G21" s="108">
        <v>7612</v>
      </c>
      <c r="H21" s="103">
        <v>0</v>
      </c>
      <c r="I21" s="107">
        <f t="shared" si="5"/>
        <v>7612</v>
      </c>
    </row>
    <row r="22" spans="1:9" x14ac:dyDescent="0.2">
      <c r="A22" s="48"/>
      <c r="B22" s="48"/>
      <c r="C22" s="48"/>
      <c r="D22" s="48"/>
      <c r="E22" s="102">
        <v>4</v>
      </c>
      <c r="F22" s="107">
        <f t="shared" si="4"/>
        <v>183430</v>
      </c>
      <c r="G22" s="108">
        <v>7612</v>
      </c>
      <c r="H22" s="103">
        <v>0</v>
      </c>
      <c r="I22" s="107">
        <f>G22+H22</f>
        <v>7612</v>
      </c>
    </row>
    <row r="23" spans="1:9" x14ac:dyDescent="0.2">
      <c r="A23" s="48"/>
      <c r="B23" s="48"/>
      <c r="C23" s="48"/>
      <c r="D23" s="48"/>
      <c r="E23" s="102">
        <v>5</v>
      </c>
      <c r="F23" s="107">
        <f t="shared" si="4"/>
        <v>183430</v>
      </c>
      <c r="G23" s="108">
        <v>7612</v>
      </c>
      <c r="H23" s="103">
        <v>0</v>
      </c>
      <c r="I23" s="107">
        <f>G23+H23</f>
        <v>7612</v>
      </c>
    </row>
    <row r="24" spans="1:9" x14ac:dyDescent="0.2">
      <c r="A24" s="48"/>
      <c r="B24" s="48"/>
      <c r="C24" s="48"/>
      <c r="D24" s="48"/>
      <c r="E24" s="102">
        <v>6</v>
      </c>
      <c r="F24" s="107">
        <f t="shared" si="4"/>
        <v>183430</v>
      </c>
      <c r="G24" s="108">
        <v>7612</v>
      </c>
      <c r="H24" s="107">
        <f>F19</f>
        <v>183430</v>
      </c>
      <c r="I24" s="107">
        <f t="shared" si="5"/>
        <v>191042</v>
      </c>
    </row>
    <row r="25" spans="1:9" x14ac:dyDescent="0.2">
      <c r="A25" s="48"/>
      <c r="B25" s="48"/>
      <c r="C25" s="48"/>
      <c r="D25" s="48"/>
      <c r="E25" s="245" t="s">
        <v>236</v>
      </c>
      <c r="F25" s="247"/>
      <c r="G25" s="107">
        <f>SUM(G19:G24)</f>
        <v>45672</v>
      </c>
      <c r="H25" s="107">
        <f>SUM(H19:H24)</f>
        <v>183430</v>
      </c>
      <c r="I25" s="107">
        <f>SUM(I19:I24)</f>
        <v>229102</v>
      </c>
    </row>
    <row r="26" spans="1:9" x14ac:dyDescent="0.2">
      <c r="A26" s="48"/>
      <c r="B26" s="48"/>
      <c r="C26" s="48"/>
      <c r="D26" s="48"/>
      <c r="E26" s="48"/>
      <c r="F26" s="48"/>
      <c r="G26" s="48"/>
      <c r="H26" s="48"/>
      <c r="I26" s="48"/>
    </row>
    <row r="27" spans="1:9" x14ac:dyDescent="0.2">
      <c r="A27" s="48"/>
      <c r="B27" s="48"/>
      <c r="C27" s="48"/>
      <c r="D27" s="48" t="s">
        <v>238</v>
      </c>
      <c r="E27" s="48"/>
      <c r="F27" s="48"/>
      <c r="G27" s="48"/>
      <c r="H27" s="48"/>
      <c r="I27" s="48"/>
    </row>
    <row r="28" spans="1:9" x14ac:dyDescent="0.2">
      <c r="A28" s="48"/>
      <c r="B28" s="48"/>
      <c r="C28" s="48"/>
      <c r="D28" s="48"/>
      <c r="E28" s="98" t="s">
        <v>229</v>
      </c>
      <c r="F28" s="99" t="s">
        <v>230</v>
      </c>
      <c r="G28" s="99" t="s">
        <v>165</v>
      </c>
      <c r="H28" s="99" t="s">
        <v>231</v>
      </c>
      <c r="I28" s="99" t="s">
        <v>232</v>
      </c>
    </row>
    <row r="29" spans="1:9" x14ac:dyDescent="0.2">
      <c r="A29" s="48"/>
      <c r="B29" s="48"/>
      <c r="C29" s="48"/>
      <c r="D29" s="48"/>
      <c r="E29" s="102">
        <v>1</v>
      </c>
      <c r="F29" s="107">
        <f>B1</f>
        <v>183430</v>
      </c>
      <c r="G29" s="108">
        <v>7612</v>
      </c>
      <c r="H29" s="107">
        <f>I29-G29</f>
        <v>27551</v>
      </c>
      <c r="I29" s="107">
        <v>35163</v>
      </c>
    </row>
    <row r="30" spans="1:9" x14ac:dyDescent="0.2">
      <c r="A30" s="48"/>
      <c r="B30" s="48"/>
      <c r="C30" s="48"/>
      <c r="D30" s="48"/>
      <c r="E30" s="102">
        <v>2</v>
      </c>
      <c r="F30" s="107">
        <f>F29-H29</f>
        <v>155879</v>
      </c>
      <c r="G30" s="108">
        <f>F30*$B$2</f>
        <v>6468.9785000000002</v>
      </c>
      <c r="H30" s="107">
        <f t="shared" ref="H30:H33" si="6">I30-G30</f>
        <v>28694.021499999999</v>
      </c>
      <c r="I30" s="107">
        <v>35163</v>
      </c>
    </row>
    <row r="31" spans="1:9" x14ac:dyDescent="0.2">
      <c r="A31" s="48"/>
      <c r="B31" s="48" t="s">
        <v>240</v>
      </c>
      <c r="C31" s="110">
        <f>B1*B2/(1-(1+B2)^-B3)</f>
        <v>35162.515498162087</v>
      </c>
      <c r="D31" s="48"/>
      <c r="E31" s="102">
        <v>3</v>
      </c>
      <c r="F31" s="107">
        <f t="shared" ref="F31:F34" si="7">F30-H30</f>
        <v>127184.9785</v>
      </c>
      <c r="G31" s="108">
        <f t="shared" ref="G31:G34" si="8">F31*$B$2</f>
        <v>5278.1766077500006</v>
      </c>
      <c r="H31" s="107">
        <f t="shared" si="6"/>
        <v>29884.82339225</v>
      </c>
      <c r="I31" s="107">
        <v>35163</v>
      </c>
    </row>
    <row r="32" spans="1:9" x14ac:dyDescent="0.2">
      <c r="A32" s="48"/>
      <c r="B32" s="48" t="s">
        <v>241</v>
      </c>
      <c r="C32" s="110">
        <f>B1*B2/4/(1-(1+B2/4)^-(B3*4))</f>
        <v>8673.2846941254611</v>
      </c>
      <c r="D32" s="48"/>
      <c r="E32" s="102">
        <v>4</v>
      </c>
      <c r="F32" s="107">
        <f>F31-H31</f>
        <v>97300.155107750004</v>
      </c>
      <c r="G32" s="108">
        <f t="shared" si="8"/>
        <v>4037.9564369716254</v>
      </c>
      <c r="H32" s="107">
        <f t="shared" si="6"/>
        <v>31125.043563028376</v>
      </c>
      <c r="I32" s="107">
        <v>35163</v>
      </c>
    </row>
    <row r="33" spans="1:9" x14ac:dyDescent="0.2">
      <c r="A33" s="48"/>
      <c r="B33" s="48" t="s">
        <v>242</v>
      </c>
      <c r="C33" s="110">
        <f>C32*4*6</f>
        <v>208158.83265901107</v>
      </c>
      <c r="D33" s="48"/>
      <c r="E33" s="102">
        <v>5</v>
      </c>
      <c r="F33" s="107">
        <f t="shared" si="7"/>
        <v>66175.111544721629</v>
      </c>
      <c r="G33" s="108">
        <f t="shared" si="8"/>
        <v>2746.2671291059478</v>
      </c>
      <c r="H33" s="107">
        <f t="shared" si="6"/>
        <v>32416.732870894051</v>
      </c>
      <c r="I33" s="107">
        <v>35163</v>
      </c>
    </row>
    <row r="34" spans="1:9" x14ac:dyDescent="0.2">
      <c r="A34" s="48"/>
      <c r="B34" s="48"/>
      <c r="C34" s="48"/>
      <c r="D34" s="48"/>
      <c r="E34" s="102">
        <v>6</v>
      </c>
      <c r="F34" s="107">
        <f t="shared" si="7"/>
        <v>33758.378673827581</v>
      </c>
      <c r="G34" s="108">
        <f t="shared" si="8"/>
        <v>1400.9727149638447</v>
      </c>
      <c r="H34" s="107">
        <f>F34</f>
        <v>33758.378673827581</v>
      </c>
      <c r="I34" s="107">
        <f>G34+H34</f>
        <v>35159.351388791423</v>
      </c>
    </row>
    <row r="35" spans="1:9" x14ac:dyDescent="0.2">
      <c r="A35" s="48"/>
      <c r="B35" s="48"/>
      <c r="C35" s="110"/>
      <c r="D35" s="48"/>
      <c r="E35" s="245" t="s">
        <v>236</v>
      </c>
      <c r="F35" s="247"/>
      <c r="G35" s="107">
        <f>SUM(G29:G34)</f>
        <v>27544.35138879142</v>
      </c>
      <c r="H35" s="107">
        <f>SUM(H29:H34)</f>
        <v>183430</v>
      </c>
      <c r="I35" s="107">
        <f>SUM(I29:I34)</f>
        <v>210974.35138879143</v>
      </c>
    </row>
    <row r="39" spans="1:9" x14ac:dyDescent="0.2">
      <c r="H39" s="105"/>
    </row>
  </sheetData>
  <mergeCells count="3">
    <mergeCell ref="E15:F15"/>
    <mergeCell ref="E25:F25"/>
    <mergeCell ref="E35:F3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02EA-AE4D-9C4E-8272-B03E84B24D01}">
  <dimension ref="A1:S25"/>
  <sheetViews>
    <sheetView topLeftCell="L2" zoomScale="166" workbookViewId="0">
      <selection activeCell="Q19" sqref="Q19"/>
    </sheetView>
  </sheetViews>
  <sheetFormatPr baseColWidth="10" defaultRowHeight="16" x14ac:dyDescent="0.2"/>
  <cols>
    <col min="1" max="1" width="17.33203125" customWidth="1"/>
    <col min="2" max="2" width="14" style="84" customWidth="1"/>
    <col min="3" max="3" width="17.33203125" customWidth="1"/>
    <col min="4" max="4" width="14" style="84" bestFit="1" customWidth="1"/>
    <col min="5" max="5" width="12.5" bestFit="1" customWidth="1"/>
    <col min="8" max="8" width="14" bestFit="1" customWidth="1"/>
    <col min="9" max="9" width="10.83203125" style="42"/>
    <col min="10" max="10" width="14" bestFit="1" customWidth="1"/>
    <col min="13" max="13" width="11.5" bestFit="1" customWidth="1"/>
    <col min="16" max="16" width="11.5" bestFit="1" customWidth="1"/>
    <col min="17" max="17" width="11.1640625" bestFit="1" customWidth="1"/>
    <col min="18" max="18" width="23.5" bestFit="1" customWidth="1"/>
    <col min="19" max="19" width="17.83203125" bestFit="1" customWidth="1"/>
  </cols>
  <sheetData>
    <row r="1" spans="1:19" s="120" customFormat="1" x14ac:dyDescent="0.2">
      <c r="A1" s="63" t="s">
        <v>245</v>
      </c>
      <c r="B1" s="65" t="s">
        <v>168</v>
      </c>
      <c r="C1" s="63" t="s">
        <v>244</v>
      </c>
      <c r="D1" s="65" t="s">
        <v>168</v>
      </c>
      <c r="G1" s="63"/>
      <c r="H1" s="63" t="s">
        <v>168</v>
      </c>
      <c r="I1" s="63" t="s">
        <v>183</v>
      </c>
      <c r="J1" s="120" t="s">
        <v>314</v>
      </c>
    </row>
    <row r="2" spans="1:19" x14ac:dyDescent="0.2">
      <c r="A2" s="17"/>
      <c r="B2" s="90"/>
      <c r="C2" s="17" t="s">
        <v>296</v>
      </c>
      <c r="D2" s="90">
        <v>810000</v>
      </c>
      <c r="G2" s="17" t="s">
        <v>214</v>
      </c>
      <c r="H2" s="95">
        <f>B15*B16</f>
        <v>1722000</v>
      </c>
      <c r="I2" s="124">
        <v>1</v>
      </c>
      <c r="J2" s="127">
        <f>J4/I4</f>
        <v>1802138.8716676999</v>
      </c>
      <c r="L2" t="s">
        <v>168</v>
      </c>
      <c r="M2" s="84">
        <v>35567</v>
      </c>
    </row>
    <row r="3" spans="1:19" x14ac:dyDescent="0.2">
      <c r="A3" s="17" t="s">
        <v>152</v>
      </c>
      <c r="B3" s="90">
        <f>6000*12</f>
        <v>72000</v>
      </c>
      <c r="C3" s="17"/>
      <c r="D3" s="90"/>
      <c r="G3" s="125" t="s">
        <v>304</v>
      </c>
      <c r="H3" s="95">
        <f>D12</f>
        <v>1166520</v>
      </c>
      <c r="I3" s="128">
        <f>H3/H2</f>
        <v>0.67742160278745644</v>
      </c>
      <c r="J3" s="127">
        <f>J2-J4</f>
        <v>1220768.8716676999</v>
      </c>
      <c r="L3" t="s">
        <v>225</v>
      </c>
      <c r="M3" s="89">
        <v>4.0500000000000001E-2</v>
      </c>
    </row>
    <row r="4" spans="1:19" x14ac:dyDescent="0.2">
      <c r="A4" s="17" t="s">
        <v>211</v>
      </c>
      <c r="B4" s="90">
        <v>12500</v>
      </c>
      <c r="C4" s="17"/>
      <c r="D4" s="90"/>
      <c r="G4" s="17" t="s">
        <v>192</v>
      </c>
      <c r="H4" s="95">
        <f>H2-H3</f>
        <v>555480</v>
      </c>
      <c r="I4" s="129">
        <v>0.3226</v>
      </c>
      <c r="J4" s="95">
        <f>J5+J6</f>
        <v>581370</v>
      </c>
      <c r="L4" t="s">
        <v>306</v>
      </c>
      <c r="M4" s="111">
        <v>3</v>
      </c>
    </row>
    <row r="5" spans="1:19" x14ac:dyDescent="0.2">
      <c r="A5" s="17" t="s">
        <v>297</v>
      </c>
      <c r="B5" s="90">
        <f>45000*0.4</f>
        <v>18000</v>
      </c>
      <c r="C5" s="17" t="s">
        <v>297</v>
      </c>
      <c r="D5" s="90">
        <f>45000*0.6</f>
        <v>27000</v>
      </c>
      <c r="E5" s="74">
        <f>B5+D5</f>
        <v>45000</v>
      </c>
      <c r="G5" s="125" t="s">
        <v>305</v>
      </c>
      <c r="H5" s="95">
        <f>B12</f>
        <v>469180</v>
      </c>
      <c r="I5" s="63" t="s">
        <v>197</v>
      </c>
      <c r="J5" s="95">
        <f>H5</f>
        <v>469180</v>
      </c>
    </row>
    <row r="6" spans="1:19" x14ac:dyDescent="0.2">
      <c r="A6" s="17" t="s">
        <v>298</v>
      </c>
      <c r="B6" s="90">
        <f>3200*0.4</f>
        <v>1280</v>
      </c>
      <c r="C6" s="17" t="s">
        <v>298</v>
      </c>
      <c r="D6" s="90">
        <f>3200*0.6</f>
        <v>1920</v>
      </c>
      <c r="E6" s="74">
        <f>B6+D6</f>
        <v>3200</v>
      </c>
      <c r="G6" s="17" t="s">
        <v>46</v>
      </c>
      <c r="H6" s="95">
        <f>H4-H5</f>
        <v>86300</v>
      </c>
      <c r="I6" s="63" t="s">
        <v>42</v>
      </c>
      <c r="J6" s="95">
        <f>H6*1.3</f>
        <v>112190</v>
      </c>
      <c r="L6" t="s">
        <v>239</v>
      </c>
      <c r="M6" s="74">
        <f>M2/M4</f>
        <v>11855.666666666666</v>
      </c>
      <c r="O6" s="63" t="s">
        <v>229</v>
      </c>
      <c r="P6" s="63" t="s">
        <v>230</v>
      </c>
      <c r="Q6" s="63" t="s">
        <v>165</v>
      </c>
      <c r="R6" s="63" t="s">
        <v>307</v>
      </c>
      <c r="S6" s="63" t="s">
        <v>238</v>
      </c>
    </row>
    <row r="7" spans="1:19" x14ac:dyDescent="0.2">
      <c r="A7" s="17" t="s">
        <v>299</v>
      </c>
      <c r="B7" s="90">
        <f>510000*0.4</f>
        <v>204000</v>
      </c>
      <c r="C7" s="17" t="s">
        <v>299</v>
      </c>
      <c r="D7" s="90">
        <f>510000*0.6</f>
        <v>306000</v>
      </c>
      <c r="E7" s="74">
        <f>B7+D7</f>
        <v>510000</v>
      </c>
      <c r="O7" s="41"/>
      <c r="P7" s="63" t="s">
        <v>309</v>
      </c>
      <c r="Q7" s="63" t="s">
        <v>308</v>
      </c>
      <c r="R7" s="63" t="s">
        <v>310</v>
      </c>
      <c r="S7" s="63" t="s">
        <v>311</v>
      </c>
    </row>
    <row r="8" spans="1:19" x14ac:dyDescent="0.2">
      <c r="A8" s="17" t="s">
        <v>90</v>
      </c>
      <c r="B8" s="90">
        <v>42000</v>
      </c>
      <c r="C8" s="17"/>
      <c r="D8" s="90"/>
      <c r="E8" s="74"/>
      <c r="L8" t="s">
        <v>313</v>
      </c>
      <c r="M8" s="96">
        <f>M2*M3/(1-(1+M3)^-M4)</f>
        <v>12828.680855912866</v>
      </c>
      <c r="O8" s="63">
        <v>1</v>
      </c>
      <c r="P8" s="126">
        <f>M2</f>
        <v>35567</v>
      </c>
      <c r="Q8" s="126">
        <v>1440</v>
      </c>
      <c r="R8" s="126">
        <v>11856</v>
      </c>
      <c r="S8" s="126">
        <f>Q8+R8</f>
        <v>13296</v>
      </c>
    </row>
    <row r="9" spans="1:19" x14ac:dyDescent="0.2">
      <c r="A9" s="17" t="s">
        <v>300</v>
      </c>
      <c r="B9" s="90">
        <v>60000</v>
      </c>
      <c r="C9" s="17"/>
      <c r="D9" s="90"/>
      <c r="E9" s="74"/>
      <c r="O9" s="63">
        <v>2</v>
      </c>
      <c r="P9" s="126">
        <f>P8-R8</f>
        <v>23711</v>
      </c>
      <c r="Q9" s="126">
        <f t="shared" ref="Q9:Q10" si="0">P9*$M$3</f>
        <v>960.29550000000006</v>
      </c>
      <c r="R9" s="126">
        <v>11856</v>
      </c>
      <c r="S9" s="126">
        <f t="shared" ref="S9:S10" si="1">Q9+R9</f>
        <v>12816.2955</v>
      </c>
    </row>
    <row r="10" spans="1:19" x14ac:dyDescent="0.2">
      <c r="A10" s="17" t="s">
        <v>301</v>
      </c>
      <c r="B10" s="90">
        <v>45000</v>
      </c>
      <c r="C10" s="17"/>
      <c r="D10" s="90"/>
      <c r="E10" s="74"/>
      <c r="O10" s="63">
        <v>3</v>
      </c>
      <c r="P10" s="126">
        <f>P9-R9</f>
        <v>11855</v>
      </c>
      <c r="Q10" s="126">
        <f t="shared" si="0"/>
        <v>480.1275</v>
      </c>
      <c r="R10" s="126">
        <f>M2-SUM(R8:R9)</f>
        <v>11855</v>
      </c>
      <c r="S10" s="126">
        <f t="shared" si="1"/>
        <v>12335.127500000001</v>
      </c>
    </row>
    <row r="11" spans="1:19" x14ac:dyDescent="0.2">
      <c r="A11" s="17" t="s">
        <v>208</v>
      </c>
      <c r="B11" s="90">
        <f>36000*0.4</f>
        <v>14400</v>
      </c>
      <c r="C11" s="17" t="s">
        <v>208</v>
      </c>
      <c r="D11" s="90">
        <f>36000*0.6</f>
        <v>21600</v>
      </c>
      <c r="E11" s="74">
        <f t="shared" ref="E11" si="2">B11+D11</f>
        <v>36000</v>
      </c>
      <c r="G11" t="s">
        <v>243</v>
      </c>
      <c r="H11" s="97">
        <f>H4/H2</f>
        <v>0.32257839721254356</v>
      </c>
      <c r="O11" s="244" t="s">
        <v>236</v>
      </c>
      <c r="P11" s="244"/>
      <c r="Q11" s="127">
        <f>SUM(Q8:Q10)</f>
        <v>2880.4230000000002</v>
      </c>
      <c r="R11" s="127">
        <f>SUM(R8:R10)</f>
        <v>35567</v>
      </c>
      <c r="S11" s="127">
        <f>SUM(S8:S10)</f>
        <v>38447.423000000003</v>
      </c>
    </row>
    <row r="12" spans="1:19" x14ac:dyDescent="0.2">
      <c r="A12" s="17" t="s">
        <v>16</v>
      </c>
      <c r="B12" s="90">
        <f>SUM(B2:B11)</f>
        <v>469180</v>
      </c>
      <c r="C12" s="17" t="s">
        <v>16</v>
      </c>
      <c r="D12" s="90">
        <f>SUM(D2:D11)</f>
        <v>1166520</v>
      </c>
      <c r="G12" t="s">
        <v>184</v>
      </c>
      <c r="H12" s="74">
        <f>B12/H11</f>
        <v>1454468.1356664507</v>
      </c>
    </row>
    <row r="13" spans="1:19" x14ac:dyDescent="0.2">
      <c r="G13" t="s">
        <v>203</v>
      </c>
      <c r="H13" s="96">
        <f>H12/B15</f>
        <v>1773.7416288615252</v>
      </c>
    </row>
    <row r="14" spans="1:19" x14ac:dyDescent="0.2">
      <c r="G14" t="s">
        <v>188</v>
      </c>
      <c r="H14" s="88">
        <f>H12/H2*360</f>
        <v>304.06999351911861</v>
      </c>
    </row>
    <row r="15" spans="1:19" x14ac:dyDescent="0.2">
      <c r="A15" t="s">
        <v>302</v>
      </c>
      <c r="B15" s="84">
        <v>820</v>
      </c>
      <c r="H15">
        <f>H14/30</f>
        <v>10.135666450637286</v>
      </c>
      <c r="O15" s="63" t="s">
        <v>229</v>
      </c>
      <c r="P15" s="63" t="s">
        <v>230</v>
      </c>
      <c r="Q15" s="63" t="s">
        <v>165</v>
      </c>
      <c r="R15" s="63" t="s">
        <v>231</v>
      </c>
      <c r="S15" s="63" t="s">
        <v>312</v>
      </c>
    </row>
    <row r="16" spans="1:19" x14ac:dyDescent="0.2">
      <c r="A16" t="s">
        <v>303</v>
      </c>
      <c r="B16" s="111">
        <v>2100</v>
      </c>
      <c r="O16" s="41"/>
      <c r="P16" s="63"/>
      <c r="Q16" s="63"/>
      <c r="R16" s="63"/>
      <c r="S16" s="63"/>
    </row>
    <row r="17" spans="15:19" x14ac:dyDescent="0.2">
      <c r="O17" s="63">
        <v>1</v>
      </c>
      <c r="P17" s="126">
        <f>M2</f>
        <v>35567</v>
      </c>
      <c r="Q17" s="126">
        <f>Q8</f>
        <v>1440</v>
      </c>
      <c r="R17" s="126">
        <f>S17-Q17</f>
        <v>11389</v>
      </c>
      <c r="S17" s="126">
        <v>12829</v>
      </c>
    </row>
    <row r="18" spans="15:19" x14ac:dyDescent="0.2">
      <c r="O18" s="63">
        <v>2</v>
      </c>
      <c r="P18" s="126">
        <f>P17-R17</f>
        <v>24178</v>
      </c>
      <c r="Q18" s="126">
        <v>979</v>
      </c>
      <c r="R18" s="126">
        <f t="shared" ref="R18" si="3">S18-Q18</f>
        <v>11850</v>
      </c>
      <c r="S18" s="126">
        <v>12829</v>
      </c>
    </row>
    <row r="19" spans="15:19" x14ac:dyDescent="0.2">
      <c r="O19" s="63">
        <v>3</v>
      </c>
      <c r="P19" s="126">
        <f>P18-R18</f>
        <v>12328</v>
      </c>
      <c r="Q19" s="126">
        <f>P19*$M$3</f>
        <v>499.28399999999999</v>
      </c>
      <c r="R19" s="126">
        <f>P19</f>
        <v>12328</v>
      </c>
      <c r="S19" s="126">
        <f>R19+Q19</f>
        <v>12827.284</v>
      </c>
    </row>
    <row r="20" spans="15:19" x14ac:dyDescent="0.2">
      <c r="O20" s="244" t="s">
        <v>236</v>
      </c>
      <c r="P20" s="244"/>
      <c r="Q20" s="127">
        <f>SUM(Q17:Q19)</f>
        <v>2918.2840000000001</v>
      </c>
      <c r="R20" s="127">
        <f>SUM(R17:R19)</f>
        <v>35567</v>
      </c>
      <c r="S20" s="127">
        <f>SUM(S17:S19)</f>
        <v>38485.284</v>
      </c>
    </row>
    <row r="22" spans="15:19" x14ac:dyDescent="0.2">
      <c r="R22" s="105"/>
    </row>
    <row r="24" spans="15:19" x14ac:dyDescent="0.2">
      <c r="R24" s="105"/>
    </row>
    <row r="25" spans="15:19" x14ac:dyDescent="0.2">
      <c r="R25" s="105"/>
    </row>
  </sheetData>
  <mergeCells count="2">
    <mergeCell ref="O11:P11"/>
    <mergeCell ref="O20:P2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EDDC0-C708-8E49-9B09-E104FD855691}">
  <dimension ref="A1:AA42"/>
  <sheetViews>
    <sheetView topLeftCell="E9" workbookViewId="0">
      <selection activeCell="B20" sqref="B20"/>
    </sheetView>
  </sheetViews>
  <sheetFormatPr baseColWidth="10" defaultRowHeight="16" x14ac:dyDescent="0.2"/>
  <cols>
    <col min="2" max="2" width="20.6640625" customWidth="1"/>
    <col min="4" max="4" width="13.33203125" customWidth="1"/>
  </cols>
  <sheetData>
    <row r="1" spans="1:27" x14ac:dyDescent="0.2">
      <c r="A1" s="63" t="s">
        <v>318</v>
      </c>
      <c r="B1" s="63" t="s">
        <v>319</v>
      </c>
      <c r="C1" s="63" t="s">
        <v>320</v>
      </c>
      <c r="D1" s="63" t="s">
        <v>321</v>
      </c>
    </row>
    <row r="2" spans="1:27" ht="17" x14ac:dyDescent="0.2">
      <c r="A2" s="131">
        <v>45505</v>
      </c>
      <c r="B2" s="132" t="s">
        <v>323</v>
      </c>
      <c r="C2" s="41">
        <v>500</v>
      </c>
      <c r="D2" s="41">
        <v>10</v>
      </c>
    </row>
    <row r="3" spans="1:27" ht="17" x14ac:dyDescent="0.2">
      <c r="A3" s="131">
        <v>45509</v>
      </c>
      <c r="B3" s="132" t="s">
        <v>322</v>
      </c>
      <c r="C3" s="41">
        <v>300</v>
      </c>
      <c r="D3" s="41"/>
    </row>
    <row r="4" spans="1:27" ht="17" x14ac:dyDescent="0.2">
      <c r="A4" s="131">
        <v>45514</v>
      </c>
      <c r="B4" s="132" t="s">
        <v>324</v>
      </c>
      <c r="C4" s="41">
        <v>350</v>
      </c>
      <c r="D4" s="41">
        <v>13</v>
      </c>
    </row>
    <row r="5" spans="1:27" ht="17" x14ac:dyDescent="0.2">
      <c r="A5" s="131">
        <v>45520</v>
      </c>
      <c r="B5" s="132" t="s">
        <v>322</v>
      </c>
      <c r="C5" s="41">
        <v>480</v>
      </c>
      <c r="D5" s="41"/>
    </row>
    <row r="6" spans="1:27" ht="17" x14ac:dyDescent="0.2">
      <c r="A6" s="131">
        <v>45524</v>
      </c>
      <c r="B6" s="132" t="s">
        <v>325</v>
      </c>
      <c r="C6" s="41">
        <v>150</v>
      </c>
      <c r="D6" s="41">
        <v>9</v>
      </c>
    </row>
    <row r="7" spans="1:27" ht="17" x14ac:dyDescent="0.2">
      <c r="A7" s="131">
        <v>45529</v>
      </c>
      <c r="B7" s="132" t="s">
        <v>326</v>
      </c>
      <c r="C7" s="41">
        <v>200</v>
      </c>
      <c r="D7" s="41"/>
    </row>
    <row r="11" spans="1:27" x14ac:dyDescent="0.2">
      <c r="E11" s="42"/>
      <c r="F11" s="240" t="s">
        <v>328</v>
      </c>
      <c r="G11" s="240"/>
      <c r="H11" s="240"/>
      <c r="I11" s="240"/>
      <c r="J11" s="240"/>
      <c r="K11" s="240"/>
      <c r="L11" s="240"/>
      <c r="M11" s="240"/>
      <c r="N11" s="240"/>
      <c r="O11" s="120"/>
      <c r="Q11" s="42"/>
      <c r="R11" s="240" t="s">
        <v>334</v>
      </c>
      <c r="S11" s="240"/>
      <c r="T11" s="240"/>
      <c r="U11" s="240"/>
      <c r="V11" s="240"/>
      <c r="W11" s="240"/>
      <c r="X11" s="240"/>
      <c r="Y11" s="240"/>
      <c r="Z11" s="240"/>
      <c r="AA11" s="120"/>
    </row>
    <row r="12" spans="1:27" x14ac:dyDescent="0.2">
      <c r="E12" s="240" t="s">
        <v>329</v>
      </c>
      <c r="F12" s="240" t="s">
        <v>331</v>
      </c>
      <c r="G12" s="240"/>
      <c r="H12" s="240"/>
      <c r="I12" s="240" t="s">
        <v>322</v>
      </c>
      <c r="J12" s="240"/>
      <c r="K12" s="240"/>
      <c r="L12" s="240" t="s">
        <v>72</v>
      </c>
      <c r="M12" s="240"/>
      <c r="N12" s="240"/>
      <c r="O12" s="120"/>
      <c r="Q12" s="240" t="s">
        <v>329</v>
      </c>
      <c r="R12" s="240" t="s">
        <v>331</v>
      </c>
      <c r="S12" s="240"/>
      <c r="T12" s="240"/>
      <c r="U12" s="240" t="s">
        <v>322</v>
      </c>
      <c r="V12" s="240"/>
      <c r="W12" s="240"/>
      <c r="X12" s="240" t="s">
        <v>72</v>
      </c>
      <c r="Y12" s="240"/>
      <c r="Z12" s="240"/>
      <c r="AA12" s="120"/>
    </row>
    <row r="13" spans="1:27" x14ac:dyDescent="0.2">
      <c r="E13" s="240"/>
      <c r="F13" s="63" t="s">
        <v>320</v>
      </c>
      <c r="G13" s="63" t="s">
        <v>327</v>
      </c>
      <c r="H13" s="63" t="s">
        <v>168</v>
      </c>
      <c r="I13" s="63" t="s">
        <v>320</v>
      </c>
      <c r="J13" s="63" t="s">
        <v>327</v>
      </c>
      <c r="K13" s="63" t="s">
        <v>168</v>
      </c>
      <c r="L13" s="63" t="s">
        <v>320</v>
      </c>
      <c r="M13" s="63" t="s">
        <v>327</v>
      </c>
      <c r="N13" s="63" t="s">
        <v>168</v>
      </c>
      <c r="O13" s="120"/>
      <c r="Q13" s="240"/>
      <c r="R13" s="63" t="s">
        <v>320</v>
      </c>
      <c r="S13" s="63" t="s">
        <v>327</v>
      </c>
      <c r="T13" s="63" t="s">
        <v>168</v>
      </c>
      <c r="U13" s="63" t="s">
        <v>320</v>
      </c>
      <c r="V13" s="63" t="s">
        <v>327</v>
      </c>
      <c r="W13" s="63" t="s">
        <v>168</v>
      </c>
      <c r="X13" s="63" t="s">
        <v>320</v>
      </c>
      <c r="Y13" s="63" t="s">
        <v>327</v>
      </c>
      <c r="Z13" s="63" t="s">
        <v>168</v>
      </c>
      <c r="AA13" s="120"/>
    </row>
    <row r="14" spans="1:27" x14ac:dyDescent="0.2">
      <c r="E14" s="63" t="s">
        <v>330</v>
      </c>
      <c r="F14" s="63"/>
      <c r="G14" s="63"/>
      <c r="H14" s="63"/>
      <c r="I14" s="63"/>
      <c r="J14" s="63"/>
      <c r="K14" s="63"/>
      <c r="L14" s="63">
        <v>500</v>
      </c>
      <c r="M14" s="63">
        <v>10</v>
      </c>
      <c r="N14" s="63">
        <f>L14*M14</f>
        <v>5000</v>
      </c>
      <c r="O14" s="120"/>
      <c r="Q14" s="63" t="s">
        <v>330</v>
      </c>
      <c r="R14" s="63"/>
      <c r="S14" s="63"/>
      <c r="T14" s="63"/>
      <c r="U14" s="63"/>
      <c r="V14" s="63"/>
      <c r="W14" s="63"/>
      <c r="X14" s="63">
        <v>500</v>
      </c>
      <c r="Y14" s="63">
        <v>10</v>
      </c>
      <c r="Z14" s="63">
        <f>X14*Y14</f>
        <v>5000</v>
      </c>
      <c r="AA14" s="120"/>
    </row>
    <row r="15" spans="1:27" x14ac:dyDescent="0.2">
      <c r="E15" s="133">
        <v>45509</v>
      </c>
      <c r="F15" s="63"/>
      <c r="G15" s="63"/>
      <c r="H15" s="63"/>
      <c r="I15" s="63">
        <v>300</v>
      </c>
      <c r="J15" s="63">
        <v>10</v>
      </c>
      <c r="K15" s="63">
        <f>I15*J15</f>
        <v>3000</v>
      </c>
      <c r="L15" s="63">
        <v>200</v>
      </c>
      <c r="M15" s="63">
        <v>10</v>
      </c>
      <c r="N15" s="63">
        <f t="shared" ref="N15:N17" si="0">L15*M15</f>
        <v>2000</v>
      </c>
      <c r="O15" s="120"/>
      <c r="Q15" s="133">
        <v>45509</v>
      </c>
      <c r="R15" s="63"/>
      <c r="S15" s="63"/>
      <c r="T15" s="63"/>
      <c r="U15" s="63">
        <v>300</v>
      </c>
      <c r="V15" s="63">
        <v>10</v>
      </c>
      <c r="W15" s="63">
        <f>U15*V15</f>
        <v>3000</v>
      </c>
      <c r="X15" s="63">
        <v>200</v>
      </c>
      <c r="Y15" s="63">
        <v>10</v>
      </c>
      <c r="Z15" s="63">
        <f t="shared" ref="Z15:Z17" si="1">X15*Y15</f>
        <v>2000</v>
      </c>
      <c r="AA15" s="120"/>
    </row>
    <row r="16" spans="1:27" x14ac:dyDescent="0.2">
      <c r="E16" s="254">
        <v>45514</v>
      </c>
      <c r="F16" s="63">
        <v>350</v>
      </c>
      <c r="G16" s="63">
        <v>13</v>
      </c>
      <c r="H16" s="63">
        <f>F16*G16</f>
        <v>4550</v>
      </c>
      <c r="I16" s="63"/>
      <c r="J16" s="63"/>
      <c r="K16" s="63"/>
      <c r="L16" s="63">
        <v>200</v>
      </c>
      <c r="M16" s="63">
        <v>10</v>
      </c>
      <c r="N16" s="63">
        <f t="shared" si="0"/>
        <v>2000</v>
      </c>
      <c r="O16" s="120"/>
      <c r="Q16" s="254">
        <v>45514</v>
      </c>
      <c r="R16" s="63">
        <v>350</v>
      </c>
      <c r="S16" s="63">
        <v>13</v>
      </c>
      <c r="T16" s="63">
        <f>R16*S16</f>
        <v>4550</v>
      </c>
      <c r="U16" s="63"/>
      <c r="V16" s="63"/>
      <c r="W16" s="63"/>
      <c r="X16" s="63">
        <v>350</v>
      </c>
      <c r="Y16" s="63">
        <v>13</v>
      </c>
      <c r="Z16" s="63">
        <f t="shared" si="1"/>
        <v>4550</v>
      </c>
      <c r="AA16" s="120"/>
    </row>
    <row r="17" spans="5:27" x14ac:dyDescent="0.2">
      <c r="E17" s="240"/>
      <c r="F17" s="63"/>
      <c r="G17" s="63"/>
      <c r="H17" s="63"/>
      <c r="I17" s="63"/>
      <c r="J17" s="63"/>
      <c r="K17" s="63"/>
      <c r="L17" s="63">
        <v>350</v>
      </c>
      <c r="M17" s="63">
        <v>13</v>
      </c>
      <c r="N17" s="63">
        <f t="shared" si="0"/>
        <v>4550</v>
      </c>
      <c r="O17" s="120"/>
      <c r="Q17" s="240"/>
      <c r="R17" s="63"/>
      <c r="S17" s="63"/>
      <c r="T17" s="63"/>
      <c r="U17" s="63"/>
      <c r="V17" s="63"/>
      <c r="W17" s="63"/>
      <c r="X17" s="63">
        <v>200</v>
      </c>
      <c r="Y17" s="63">
        <v>10</v>
      </c>
      <c r="Z17" s="63">
        <f t="shared" si="1"/>
        <v>2000</v>
      </c>
      <c r="AA17" s="120"/>
    </row>
    <row r="18" spans="5:27" x14ac:dyDescent="0.2">
      <c r="E18" s="254">
        <v>45520</v>
      </c>
      <c r="F18" s="63"/>
      <c r="G18" s="63"/>
      <c r="H18" s="63"/>
      <c r="I18" s="63">
        <v>200</v>
      </c>
      <c r="J18" s="63">
        <v>10</v>
      </c>
      <c r="K18" s="63">
        <f t="shared" ref="K18:K23" si="2">I18*J18</f>
        <v>2000</v>
      </c>
      <c r="L18" s="251">
        <v>70</v>
      </c>
      <c r="M18" s="251">
        <v>13</v>
      </c>
      <c r="N18" s="251">
        <f>L18*M18</f>
        <v>910</v>
      </c>
      <c r="O18" s="120"/>
      <c r="Q18" s="254">
        <v>45520</v>
      </c>
      <c r="R18" s="63"/>
      <c r="S18" s="63"/>
      <c r="T18" s="63"/>
      <c r="U18" s="63">
        <v>350</v>
      </c>
      <c r="V18" s="63">
        <v>13</v>
      </c>
      <c r="W18" s="63">
        <f t="shared" ref="W18:W19" si="3">U18*V18</f>
        <v>4550</v>
      </c>
      <c r="X18" s="251">
        <v>70</v>
      </c>
      <c r="Y18" s="251">
        <v>10</v>
      </c>
      <c r="Z18" s="251">
        <f>X18*Y18</f>
        <v>700</v>
      </c>
      <c r="AA18" s="120"/>
    </row>
    <row r="19" spans="5:27" x14ac:dyDescent="0.2">
      <c r="E19" s="240"/>
      <c r="F19" s="63"/>
      <c r="G19" s="63"/>
      <c r="H19" s="63"/>
      <c r="I19" s="63">
        <v>280</v>
      </c>
      <c r="J19" s="63">
        <v>13</v>
      </c>
      <c r="K19" s="63">
        <f t="shared" si="2"/>
        <v>3640</v>
      </c>
      <c r="L19" s="252"/>
      <c r="M19" s="252"/>
      <c r="N19" s="252"/>
      <c r="O19" s="120"/>
      <c r="Q19" s="240"/>
      <c r="R19" s="63"/>
      <c r="S19" s="63"/>
      <c r="T19" s="63"/>
      <c r="U19" s="63">
        <v>130</v>
      </c>
      <c r="V19" s="63">
        <v>10</v>
      </c>
      <c r="W19" s="63">
        <f t="shared" si="3"/>
        <v>1300</v>
      </c>
      <c r="X19" s="252"/>
      <c r="Y19" s="252"/>
      <c r="Z19" s="252"/>
      <c r="AA19" s="120"/>
    </row>
    <row r="20" spans="5:27" x14ac:dyDescent="0.2">
      <c r="E20" s="254">
        <v>45524</v>
      </c>
      <c r="F20" s="63">
        <v>150</v>
      </c>
      <c r="G20" s="63">
        <v>9</v>
      </c>
      <c r="H20" s="63">
        <f t="shared" ref="H20" si="4">F20*G20</f>
        <v>1350</v>
      </c>
      <c r="I20" s="63"/>
      <c r="J20" s="63"/>
      <c r="K20" s="63"/>
      <c r="L20" s="63">
        <v>70</v>
      </c>
      <c r="M20" s="63">
        <v>13</v>
      </c>
      <c r="N20" s="63">
        <f>L20*M20</f>
        <v>910</v>
      </c>
      <c r="O20" s="120"/>
      <c r="Q20" s="254">
        <v>45524</v>
      </c>
      <c r="R20" s="63">
        <v>150</v>
      </c>
      <c r="S20" s="63">
        <v>9</v>
      </c>
      <c r="T20" s="63">
        <f t="shared" ref="T20" si="5">R20*S20</f>
        <v>1350</v>
      </c>
      <c r="U20" s="63"/>
      <c r="V20" s="63"/>
      <c r="W20" s="63"/>
      <c r="X20" s="63">
        <v>150</v>
      </c>
      <c r="Y20" s="63">
        <v>9</v>
      </c>
      <c r="Z20" s="63">
        <f>X20*Y20</f>
        <v>1350</v>
      </c>
      <c r="AA20" s="120"/>
    </row>
    <row r="21" spans="5:27" x14ac:dyDescent="0.2">
      <c r="E21" s="240"/>
      <c r="F21" s="63"/>
      <c r="G21" s="63"/>
      <c r="H21" s="63"/>
      <c r="I21" s="63"/>
      <c r="J21" s="63"/>
      <c r="K21" s="63"/>
      <c r="L21" s="63">
        <v>150</v>
      </c>
      <c r="M21" s="63">
        <v>9</v>
      </c>
      <c r="N21" s="63">
        <f>L21*M21</f>
        <v>1350</v>
      </c>
      <c r="O21" s="120"/>
      <c r="Q21" s="240"/>
      <c r="R21" s="63"/>
      <c r="S21" s="63"/>
      <c r="T21" s="63"/>
      <c r="U21" s="63"/>
      <c r="V21" s="63"/>
      <c r="W21" s="63"/>
      <c r="X21" s="63">
        <v>70</v>
      </c>
      <c r="Y21" s="63">
        <v>10</v>
      </c>
      <c r="Z21" s="63">
        <f>X21*Y21</f>
        <v>700</v>
      </c>
      <c r="AA21" s="120"/>
    </row>
    <row r="22" spans="5:27" x14ac:dyDescent="0.2">
      <c r="E22" s="254">
        <v>45529</v>
      </c>
      <c r="F22" s="63"/>
      <c r="G22" s="63"/>
      <c r="H22" s="63"/>
      <c r="I22" s="63">
        <v>70</v>
      </c>
      <c r="J22" s="63">
        <v>13</v>
      </c>
      <c r="K22" s="63">
        <f t="shared" si="2"/>
        <v>910</v>
      </c>
      <c r="L22" s="251">
        <v>20</v>
      </c>
      <c r="M22" s="251">
        <v>9</v>
      </c>
      <c r="N22" s="251">
        <f>L22*M22</f>
        <v>180</v>
      </c>
      <c r="O22" s="120"/>
      <c r="Q22" s="254">
        <v>45529</v>
      </c>
      <c r="R22" s="63"/>
      <c r="S22" s="63"/>
      <c r="T22" s="63"/>
      <c r="U22" s="63">
        <v>150</v>
      </c>
      <c r="V22" s="63">
        <v>9</v>
      </c>
      <c r="W22" s="63">
        <f t="shared" ref="W22:W23" si="6">U22*V22</f>
        <v>1350</v>
      </c>
      <c r="X22" s="251">
        <v>20</v>
      </c>
      <c r="Y22" s="251">
        <v>10</v>
      </c>
      <c r="Z22" s="251">
        <f>X22*Y22</f>
        <v>200</v>
      </c>
      <c r="AA22" s="120"/>
    </row>
    <row r="23" spans="5:27" x14ac:dyDescent="0.2">
      <c r="E23" s="254"/>
      <c r="F23" s="63"/>
      <c r="G23" s="63"/>
      <c r="H23" s="63"/>
      <c r="I23" s="63">
        <v>130</v>
      </c>
      <c r="J23" s="63">
        <v>9</v>
      </c>
      <c r="K23" s="134">
        <f t="shared" si="2"/>
        <v>1170</v>
      </c>
      <c r="L23" s="253"/>
      <c r="M23" s="253"/>
      <c r="N23" s="253"/>
      <c r="O23" s="120"/>
      <c r="Q23" s="254"/>
      <c r="R23" s="63"/>
      <c r="S23" s="63"/>
      <c r="T23" s="63"/>
      <c r="U23" s="63">
        <v>50</v>
      </c>
      <c r="V23" s="63">
        <v>10</v>
      </c>
      <c r="W23" s="134">
        <f t="shared" si="6"/>
        <v>500</v>
      </c>
      <c r="X23" s="253"/>
      <c r="Y23" s="253"/>
      <c r="Z23" s="253"/>
      <c r="AA23" s="120"/>
    </row>
    <row r="24" spans="5:27" x14ac:dyDescent="0.2">
      <c r="E24" s="135"/>
      <c r="F24" s="120"/>
      <c r="G24" s="120"/>
      <c r="H24" s="120"/>
      <c r="I24" s="120"/>
      <c r="J24" s="120"/>
      <c r="K24" s="137" t="s">
        <v>332</v>
      </c>
      <c r="L24" s="137">
        <v>-2</v>
      </c>
      <c r="M24" s="137">
        <f>M22</f>
        <v>9</v>
      </c>
      <c r="N24" s="137">
        <f>L24*M24</f>
        <v>-18</v>
      </c>
      <c r="O24" s="137"/>
      <c r="Q24" s="135"/>
      <c r="R24" s="120"/>
      <c r="S24" s="120"/>
      <c r="T24" s="120"/>
      <c r="U24" s="120"/>
      <c r="V24" s="120"/>
      <c r="W24" s="137" t="s">
        <v>332</v>
      </c>
      <c r="X24" s="137">
        <v>-2</v>
      </c>
      <c r="Y24" s="137">
        <f>Y22</f>
        <v>10</v>
      </c>
      <c r="Z24" s="137">
        <f>X24*Y24</f>
        <v>-20</v>
      </c>
      <c r="AA24" s="137"/>
    </row>
    <row r="25" spans="5:27" x14ac:dyDescent="0.2">
      <c r="L25" s="1">
        <f>L22+L24</f>
        <v>18</v>
      </c>
      <c r="M25" s="1">
        <v>9</v>
      </c>
      <c r="N25" s="136">
        <f>L25*M25</f>
        <v>162</v>
      </c>
      <c r="O25" s="136" t="s">
        <v>333</v>
      </c>
      <c r="X25" s="1">
        <f>X22+X24</f>
        <v>18</v>
      </c>
      <c r="Y25" s="1">
        <v>9</v>
      </c>
      <c r="Z25" s="136">
        <f>X25*Y25</f>
        <v>162</v>
      </c>
      <c r="AA25" s="136" t="s">
        <v>333</v>
      </c>
    </row>
    <row r="28" spans="5:27" x14ac:dyDescent="0.2">
      <c r="E28" s="42"/>
      <c r="F28" s="240" t="s">
        <v>335</v>
      </c>
      <c r="G28" s="240"/>
      <c r="H28" s="240"/>
      <c r="I28" s="240"/>
      <c r="J28" s="240"/>
      <c r="K28" s="240"/>
      <c r="L28" s="240"/>
      <c r="M28" s="240"/>
      <c r="N28" s="240"/>
      <c r="O28" s="120"/>
      <c r="Q28" s="42"/>
      <c r="R28" s="240" t="s">
        <v>336</v>
      </c>
      <c r="S28" s="240"/>
      <c r="T28" s="240"/>
      <c r="U28" s="240"/>
      <c r="V28" s="240"/>
      <c r="W28" s="240"/>
      <c r="X28" s="240"/>
      <c r="Y28" s="240"/>
      <c r="Z28" s="240"/>
      <c r="AA28" s="120"/>
    </row>
    <row r="29" spans="5:27" x14ac:dyDescent="0.2">
      <c r="E29" s="240" t="s">
        <v>329</v>
      </c>
      <c r="F29" s="240" t="s">
        <v>331</v>
      </c>
      <c r="G29" s="240"/>
      <c r="H29" s="240"/>
      <c r="I29" s="240" t="s">
        <v>322</v>
      </c>
      <c r="J29" s="240"/>
      <c r="K29" s="240"/>
      <c r="L29" s="240" t="s">
        <v>72</v>
      </c>
      <c r="M29" s="240"/>
      <c r="N29" s="240"/>
      <c r="O29" s="120"/>
      <c r="Q29" s="240" t="s">
        <v>329</v>
      </c>
      <c r="R29" s="240" t="s">
        <v>331</v>
      </c>
      <c r="S29" s="240"/>
      <c r="T29" s="240"/>
      <c r="U29" s="240" t="s">
        <v>322</v>
      </c>
      <c r="V29" s="240"/>
      <c r="W29" s="240"/>
      <c r="X29" s="240" t="s">
        <v>72</v>
      </c>
      <c r="Y29" s="240"/>
      <c r="Z29" s="240"/>
      <c r="AA29" s="120"/>
    </row>
    <row r="30" spans="5:27" x14ac:dyDescent="0.2">
      <c r="E30" s="240"/>
      <c r="F30" s="63" t="s">
        <v>320</v>
      </c>
      <c r="G30" s="63" t="s">
        <v>327</v>
      </c>
      <c r="H30" s="63" t="s">
        <v>168</v>
      </c>
      <c r="I30" s="63" t="s">
        <v>320</v>
      </c>
      <c r="J30" s="63" t="s">
        <v>327</v>
      </c>
      <c r="K30" s="63" t="s">
        <v>168</v>
      </c>
      <c r="L30" s="63" t="s">
        <v>320</v>
      </c>
      <c r="M30" s="63" t="s">
        <v>327</v>
      </c>
      <c r="N30" s="63" t="s">
        <v>168</v>
      </c>
      <c r="O30" s="120"/>
      <c r="Q30" s="240"/>
      <c r="R30" s="63" t="s">
        <v>320</v>
      </c>
      <c r="S30" s="63" t="s">
        <v>327</v>
      </c>
      <c r="T30" s="63" t="s">
        <v>168</v>
      </c>
      <c r="U30" s="63" t="s">
        <v>320</v>
      </c>
      <c r="V30" s="63" t="s">
        <v>327</v>
      </c>
      <c r="W30" s="63" t="s">
        <v>168</v>
      </c>
      <c r="X30" s="63" t="s">
        <v>320</v>
      </c>
      <c r="Y30" s="63" t="s">
        <v>327</v>
      </c>
      <c r="Z30" s="63" t="s">
        <v>168</v>
      </c>
      <c r="AA30" s="120"/>
    </row>
    <row r="31" spans="5:27" x14ac:dyDescent="0.2">
      <c r="E31" s="63" t="s">
        <v>330</v>
      </c>
      <c r="F31" s="63"/>
      <c r="G31" s="63"/>
      <c r="H31" s="63"/>
      <c r="I31" s="63"/>
      <c r="J31" s="63"/>
      <c r="K31" s="63"/>
      <c r="L31" s="63"/>
      <c r="M31" s="63"/>
      <c r="N31" s="63">
        <f>L31*M31</f>
        <v>0</v>
      </c>
      <c r="O31" s="120"/>
      <c r="Q31" s="63" t="s">
        <v>330</v>
      </c>
      <c r="R31" s="63"/>
      <c r="S31" s="63"/>
      <c r="T31" s="63"/>
      <c r="U31" s="63"/>
      <c r="V31" s="63"/>
      <c r="W31" s="63"/>
      <c r="X31" s="63">
        <v>500</v>
      </c>
      <c r="Y31" s="63">
        <v>10</v>
      </c>
      <c r="Z31" s="63">
        <f>X31*Y31</f>
        <v>5000</v>
      </c>
      <c r="AA31" s="120"/>
    </row>
    <row r="32" spans="5:27" x14ac:dyDescent="0.2">
      <c r="E32" s="133">
        <v>45509</v>
      </c>
      <c r="F32" s="63"/>
      <c r="G32" s="63"/>
      <c r="H32" s="63"/>
      <c r="I32" s="63"/>
      <c r="J32" s="63"/>
      <c r="K32" s="63">
        <f>I32*J32</f>
        <v>0</v>
      </c>
      <c r="L32" s="63"/>
      <c r="M32" s="63"/>
      <c r="N32" s="63">
        <f t="shared" ref="N32:N34" si="7">L32*M32</f>
        <v>0</v>
      </c>
      <c r="O32" s="120"/>
      <c r="Q32" s="133">
        <v>45509</v>
      </c>
      <c r="R32" s="63"/>
      <c r="S32" s="63"/>
      <c r="T32" s="63"/>
      <c r="U32" s="63">
        <v>300</v>
      </c>
      <c r="V32" s="63">
        <v>10</v>
      </c>
      <c r="W32" s="63">
        <f>U32*V32</f>
        <v>3000</v>
      </c>
      <c r="X32" s="63">
        <v>200</v>
      </c>
      <c r="Y32" s="63">
        <v>10</v>
      </c>
      <c r="Z32" s="63">
        <f t="shared" ref="Z32:Z34" si="8">X32*Y32</f>
        <v>2000</v>
      </c>
      <c r="AA32" s="120"/>
    </row>
    <row r="33" spans="5:27" x14ac:dyDescent="0.2">
      <c r="E33" s="254">
        <v>45514</v>
      </c>
      <c r="F33" s="63"/>
      <c r="G33" s="63"/>
      <c r="H33" s="63">
        <f>F33*G33</f>
        <v>0</v>
      </c>
      <c r="I33" s="63"/>
      <c r="J33" s="63"/>
      <c r="K33" s="63"/>
      <c r="L33" s="63"/>
      <c r="M33" s="63"/>
      <c r="N33" s="63">
        <f t="shared" si="7"/>
        <v>0</v>
      </c>
      <c r="O33" s="120"/>
      <c r="Q33" s="254">
        <v>45514</v>
      </c>
      <c r="R33" s="63">
        <v>350</v>
      </c>
      <c r="S33" s="63">
        <v>13</v>
      </c>
      <c r="T33" s="63">
        <f>R33*S33</f>
        <v>4550</v>
      </c>
      <c r="U33" s="63"/>
      <c r="V33" s="63"/>
      <c r="W33" s="63"/>
      <c r="X33" s="63">
        <v>200</v>
      </c>
      <c r="Y33" s="63">
        <v>10</v>
      </c>
      <c r="Z33" s="63">
        <f t="shared" si="8"/>
        <v>2000</v>
      </c>
      <c r="AA33" s="120"/>
    </row>
    <row r="34" spans="5:27" x14ac:dyDescent="0.2">
      <c r="E34" s="240"/>
      <c r="F34" s="63"/>
      <c r="G34" s="63"/>
      <c r="H34" s="63"/>
      <c r="I34" s="63"/>
      <c r="J34" s="63"/>
      <c r="K34" s="63"/>
      <c r="L34" s="63"/>
      <c r="M34" s="63"/>
      <c r="N34" s="63">
        <f t="shared" si="7"/>
        <v>0</v>
      </c>
      <c r="O34" s="120"/>
      <c r="Q34" s="240"/>
      <c r="R34" s="63"/>
      <c r="S34" s="63"/>
      <c r="T34" s="63"/>
      <c r="U34" s="63"/>
      <c r="V34" s="63"/>
      <c r="W34" s="63"/>
      <c r="X34" s="63">
        <v>350</v>
      </c>
      <c r="Y34" s="63">
        <v>13</v>
      </c>
      <c r="Z34" s="63">
        <f t="shared" si="8"/>
        <v>4550</v>
      </c>
      <c r="AA34" s="120"/>
    </row>
    <row r="35" spans="5:27" x14ac:dyDescent="0.2">
      <c r="E35" s="254">
        <v>45520</v>
      </c>
      <c r="F35" s="63"/>
      <c r="G35" s="63"/>
      <c r="H35" s="63"/>
      <c r="I35" s="63"/>
      <c r="J35" s="63"/>
      <c r="K35" s="63">
        <f t="shared" ref="K35:K36" si="9">I35*J35</f>
        <v>0</v>
      </c>
      <c r="L35" s="251"/>
      <c r="M35" s="251"/>
      <c r="N35" s="251">
        <f>L35*M35</f>
        <v>0</v>
      </c>
      <c r="O35" s="120"/>
      <c r="Q35" s="254">
        <v>45520</v>
      </c>
      <c r="R35" s="63"/>
      <c r="S35" s="63"/>
      <c r="T35" s="63"/>
      <c r="U35" s="63">
        <v>200</v>
      </c>
      <c r="V35" s="63">
        <v>10</v>
      </c>
      <c r="W35" s="63">
        <f t="shared" ref="W35:W36" si="10">U35*V35</f>
        <v>2000</v>
      </c>
      <c r="X35" s="251">
        <v>70</v>
      </c>
      <c r="Y35" s="251">
        <v>13</v>
      </c>
      <c r="Z35" s="251">
        <f>X35*Y35</f>
        <v>910</v>
      </c>
      <c r="AA35" s="120"/>
    </row>
    <row r="36" spans="5:27" x14ac:dyDescent="0.2">
      <c r="E36" s="240"/>
      <c r="F36" s="63"/>
      <c r="G36" s="63"/>
      <c r="H36" s="63"/>
      <c r="I36" s="63"/>
      <c r="J36" s="63"/>
      <c r="K36" s="63">
        <f t="shared" si="9"/>
        <v>0</v>
      </c>
      <c r="L36" s="252"/>
      <c r="M36" s="252"/>
      <c r="N36" s="252"/>
      <c r="O36" s="120"/>
      <c r="Q36" s="240"/>
      <c r="R36" s="63"/>
      <c r="S36" s="63"/>
      <c r="T36" s="63"/>
      <c r="U36" s="63">
        <v>280</v>
      </c>
      <c r="V36" s="63">
        <v>13</v>
      </c>
      <c r="W36" s="63">
        <f t="shared" si="10"/>
        <v>3640</v>
      </c>
      <c r="X36" s="252"/>
      <c r="Y36" s="252"/>
      <c r="Z36" s="252"/>
      <c r="AA36" s="120"/>
    </row>
    <row r="37" spans="5:27" x14ac:dyDescent="0.2">
      <c r="E37" s="254">
        <v>45524</v>
      </c>
      <c r="F37" s="63"/>
      <c r="G37" s="63"/>
      <c r="H37" s="63">
        <f t="shared" ref="H37" si="11">F37*G37</f>
        <v>0</v>
      </c>
      <c r="I37" s="63"/>
      <c r="J37" s="63"/>
      <c r="K37" s="63"/>
      <c r="L37" s="63"/>
      <c r="M37" s="63"/>
      <c r="N37" s="63">
        <f>L37*M37</f>
        <v>0</v>
      </c>
      <c r="O37" s="120"/>
      <c r="Q37" s="254">
        <v>45524</v>
      </c>
      <c r="R37" s="63">
        <v>150</v>
      </c>
      <c r="S37" s="63">
        <v>9</v>
      </c>
      <c r="T37" s="63">
        <f t="shared" ref="T37" si="12">R37*S37</f>
        <v>1350</v>
      </c>
      <c r="U37" s="63"/>
      <c r="V37" s="63"/>
      <c r="W37" s="63"/>
      <c r="X37" s="63">
        <v>70</v>
      </c>
      <c r="Y37" s="63">
        <v>13</v>
      </c>
      <c r="Z37" s="63">
        <f>X37*Y37</f>
        <v>910</v>
      </c>
      <c r="AA37" s="120"/>
    </row>
    <row r="38" spans="5:27" x14ac:dyDescent="0.2">
      <c r="E38" s="240"/>
      <c r="F38" s="63"/>
      <c r="G38" s="63"/>
      <c r="H38" s="63"/>
      <c r="I38" s="63"/>
      <c r="J38" s="63"/>
      <c r="K38" s="63"/>
      <c r="L38" s="63"/>
      <c r="M38" s="63"/>
      <c r="N38" s="63">
        <f>L38*M38</f>
        <v>0</v>
      </c>
      <c r="O38" s="120"/>
      <c r="Q38" s="240"/>
      <c r="R38" s="63"/>
      <c r="S38" s="63"/>
      <c r="T38" s="63"/>
      <c r="U38" s="63"/>
      <c r="V38" s="63"/>
      <c r="W38" s="63"/>
      <c r="X38" s="63">
        <v>150</v>
      </c>
      <c r="Y38" s="63">
        <v>9</v>
      </c>
      <c r="Z38" s="63">
        <f>X38*Y38</f>
        <v>1350</v>
      </c>
      <c r="AA38" s="120"/>
    </row>
    <row r="39" spans="5:27" x14ac:dyDescent="0.2">
      <c r="E39" s="254">
        <v>45529</v>
      </c>
      <c r="F39" s="63"/>
      <c r="G39" s="63"/>
      <c r="H39" s="63"/>
      <c r="I39" s="63"/>
      <c r="J39" s="63"/>
      <c r="K39" s="63">
        <f t="shared" ref="K39:K40" si="13">I39*J39</f>
        <v>0</v>
      </c>
      <c r="L39" s="251"/>
      <c r="M39" s="251"/>
      <c r="N39" s="251">
        <f>L39*M39</f>
        <v>0</v>
      </c>
      <c r="O39" s="120"/>
      <c r="Q39" s="254">
        <v>45529</v>
      </c>
      <c r="R39" s="63"/>
      <c r="S39" s="63"/>
      <c r="T39" s="63"/>
      <c r="U39" s="63">
        <v>70</v>
      </c>
      <c r="V39" s="63">
        <v>13</v>
      </c>
      <c r="W39" s="63">
        <f t="shared" ref="W39:W40" si="14">U39*V39</f>
        <v>910</v>
      </c>
      <c r="X39" s="251">
        <v>20</v>
      </c>
      <c r="Y39" s="251">
        <v>9</v>
      </c>
      <c r="Z39" s="251">
        <f>X39*Y39</f>
        <v>180</v>
      </c>
      <c r="AA39" s="120"/>
    </row>
    <row r="40" spans="5:27" x14ac:dyDescent="0.2">
      <c r="E40" s="254"/>
      <c r="F40" s="63"/>
      <c r="G40" s="63"/>
      <c r="H40" s="63"/>
      <c r="I40" s="63"/>
      <c r="J40" s="63"/>
      <c r="K40" s="134">
        <f t="shared" si="13"/>
        <v>0</v>
      </c>
      <c r="L40" s="253"/>
      <c r="M40" s="253"/>
      <c r="N40" s="253"/>
      <c r="O40" s="120"/>
      <c r="Q40" s="254"/>
      <c r="R40" s="63"/>
      <c r="S40" s="63"/>
      <c r="T40" s="63"/>
      <c r="U40" s="63">
        <v>130</v>
      </c>
      <c r="V40" s="63">
        <v>9</v>
      </c>
      <c r="W40" s="134">
        <f t="shared" si="14"/>
        <v>1170</v>
      </c>
      <c r="X40" s="253"/>
      <c r="Y40" s="253"/>
      <c r="Z40" s="253"/>
      <c r="AA40" s="120"/>
    </row>
    <row r="41" spans="5:27" x14ac:dyDescent="0.2">
      <c r="E41" s="135"/>
      <c r="F41" s="120"/>
      <c r="G41" s="120"/>
      <c r="H41" s="120"/>
      <c r="I41" s="120"/>
      <c r="J41" s="120"/>
      <c r="K41" s="137" t="s">
        <v>332</v>
      </c>
      <c r="L41" s="137">
        <v>-2</v>
      </c>
      <c r="M41" s="137">
        <v>9</v>
      </c>
      <c r="N41" s="137"/>
      <c r="O41" s="137"/>
      <c r="Q41" s="135"/>
      <c r="R41" s="120"/>
      <c r="S41" s="120"/>
      <c r="T41" s="120"/>
      <c r="U41" s="120"/>
      <c r="V41" s="120"/>
      <c r="W41" s="137" t="s">
        <v>332</v>
      </c>
      <c r="X41" s="137">
        <v>-2</v>
      </c>
      <c r="Y41" s="137">
        <v>9</v>
      </c>
      <c r="Z41" s="137"/>
      <c r="AA41" s="137"/>
    </row>
    <row r="42" spans="5:27" x14ac:dyDescent="0.2">
      <c r="L42" s="1">
        <f>L39+L41</f>
        <v>-2</v>
      </c>
      <c r="M42" s="1">
        <v>9</v>
      </c>
      <c r="N42" s="136">
        <f>L42*M42</f>
        <v>-18</v>
      </c>
      <c r="O42" s="136" t="s">
        <v>333</v>
      </c>
      <c r="X42" s="1">
        <f>X39+X41</f>
        <v>18</v>
      </c>
      <c r="Y42" s="1">
        <v>9</v>
      </c>
      <c r="Z42" s="136">
        <f>X42*Y42</f>
        <v>162</v>
      </c>
      <c r="AA42" s="136" t="s">
        <v>333</v>
      </c>
    </row>
  </sheetData>
  <mergeCells count="60">
    <mergeCell ref="E18:E19"/>
    <mergeCell ref="E20:E21"/>
    <mergeCell ref="E22:E23"/>
    <mergeCell ref="R11:Z11"/>
    <mergeCell ref="Q12:Q13"/>
    <mergeCell ref="R12:T12"/>
    <mergeCell ref="U12:W12"/>
    <mergeCell ref="X12:Z12"/>
    <mergeCell ref="Q16:Q17"/>
    <mergeCell ref="Q18:Q19"/>
    <mergeCell ref="F12:H12"/>
    <mergeCell ref="I12:K12"/>
    <mergeCell ref="L12:N12"/>
    <mergeCell ref="F11:N11"/>
    <mergeCell ref="E12:E13"/>
    <mergeCell ref="E16:E17"/>
    <mergeCell ref="E33:E34"/>
    <mergeCell ref="E35:E36"/>
    <mergeCell ref="E37:E38"/>
    <mergeCell ref="E39:E40"/>
    <mergeCell ref="R28:Z28"/>
    <mergeCell ref="Q29:Q30"/>
    <mergeCell ref="R29:T29"/>
    <mergeCell ref="U29:W29"/>
    <mergeCell ref="X29:Z29"/>
    <mergeCell ref="Q33:Q34"/>
    <mergeCell ref="F28:N28"/>
    <mergeCell ref="E29:E30"/>
    <mergeCell ref="F29:H29"/>
    <mergeCell ref="I29:K29"/>
    <mergeCell ref="L29:N29"/>
    <mergeCell ref="Q35:Q36"/>
    <mergeCell ref="Q37:Q38"/>
    <mergeCell ref="Q39:Q40"/>
    <mergeCell ref="L18:L19"/>
    <mergeCell ref="M18:M19"/>
    <mergeCell ref="L22:L23"/>
    <mergeCell ref="M22:M23"/>
    <mergeCell ref="N22:N23"/>
    <mergeCell ref="N18:N19"/>
    <mergeCell ref="L35:L36"/>
    <mergeCell ref="Q20:Q21"/>
    <mergeCell ref="Q22:Q23"/>
    <mergeCell ref="X18:X19"/>
    <mergeCell ref="Y18:Y19"/>
    <mergeCell ref="Z18:Z19"/>
    <mergeCell ref="X22:X23"/>
    <mergeCell ref="Y22:Y23"/>
    <mergeCell ref="Z22:Z23"/>
    <mergeCell ref="M35:M36"/>
    <mergeCell ref="N35:N36"/>
    <mergeCell ref="L39:L40"/>
    <mergeCell ref="M39:M40"/>
    <mergeCell ref="N39:N40"/>
    <mergeCell ref="Y35:Y36"/>
    <mergeCell ref="Z35:Z36"/>
    <mergeCell ref="X39:X40"/>
    <mergeCell ref="Y39:Y40"/>
    <mergeCell ref="Z39:Z40"/>
    <mergeCell ref="X35:X3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CC86A-4416-F141-8B69-C19311D42831}">
  <dimension ref="A1:AA44"/>
  <sheetViews>
    <sheetView topLeftCell="A4" zoomScale="87" zoomScaleNormal="140" workbookViewId="0">
      <selection activeCell="O13" sqref="O13"/>
    </sheetView>
  </sheetViews>
  <sheetFormatPr baseColWidth="10" defaultRowHeight="16" x14ac:dyDescent="0.2"/>
  <cols>
    <col min="1" max="14" width="10.83203125" style="148"/>
    <col min="15" max="15" width="17.83203125" style="148" customWidth="1"/>
    <col min="16" max="26" width="10.83203125" style="148"/>
    <col min="27" max="27" width="18.1640625" style="148" bestFit="1" customWidth="1"/>
    <col min="28" max="16384" width="10.83203125" style="148"/>
  </cols>
  <sheetData>
    <row r="1" spans="1:27" x14ac:dyDescent="0.2">
      <c r="A1" s="63" t="s">
        <v>318</v>
      </c>
      <c r="B1" s="63" t="s">
        <v>319</v>
      </c>
      <c r="C1" s="63" t="s">
        <v>320</v>
      </c>
      <c r="D1" s="63" t="s">
        <v>321</v>
      </c>
    </row>
    <row r="2" spans="1:27" ht="17" x14ac:dyDescent="0.2">
      <c r="A2" s="131">
        <v>45444</v>
      </c>
      <c r="B2" s="132" t="s">
        <v>72</v>
      </c>
      <c r="C2" s="41">
        <v>1000</v>
      </c>
      <c r="D2" s="41">
        <v>4.4000000000000004</v>
      </c>
    </row>
    <row r="3" spans="1:27" ht="17" x14ac:dyDescent="0.2">
      <c r="A3" s="131">
        <v>45448</v>
      </c>
      <c r="B3" s="132" t="s">
        <v>322</v>
      </c>
      <c r="C3" s="41">
        <v>200</v>
      </c>
      <c r="D3" s="41"/>
      <c r="L3" s="151"/>
    </row>
    <row r="4" spans="1:27" ht="17" x14ac:dyDescent="0.2">
      <c r="A4" s="131">
        <v>45452</v>
      </c>
      <c r="B4" s="132" t="s">
        <v>331</v>
      </c>
      <c r="C4" s="41">
        <v>600</v>
      </c>
      <c r="D4" s="41">
        <v>5.45</v>
      </c>
      <c r="L4" s="151"/>
    </row>
    <row r="5" spans="1:27" ht="17" x14ac:dyDescent="0.2">
      <c r="A5" s="131">
        <v>45455</v>
      </c>
      <c r="B5" s="132" t="s">
        <v>322</v>
      </c>
      <c r="C5" s="41">
        <v>250</v>
      </c>
      <c r="D5" s="41"/>
      <c r="L5" s="151"/>
    </row>
    <row r="6" spans="1:27" ht="17" x14ac:dyDescent="0.2">
      <c r="A6" s="131">
        <v>45463</v>
      </c>
      <c r="B6" s="132" t="s">
        <v>322</v>
      </c>
      <c r="C6" s="41">
        <v>150</v>
      </c>
      <c r="D6" s="41"/>
      <c r="L6" s="151"/>
    </row>
    <row r="7" spans="1:27" ht="17" x14ac:dyDescent="0.2">
      <c r="A7" s="131">
        <v>45466</v>
      </c>
      <c r="B7" s="132" t="s">
        <v>331</v>
      </c>
      <c r="C7" s="41">
        <v>500</v>
      </c>
      <c r="D7" s="41">
        <v>4.38</v>
      </c>
      <c r="L7" s="151"/>
    </row>
    <row r="8" spans="1:27" ht="17" x14ac:dyDescent="0.2">
      <c r="A8" s="131">
        <v>45473</v>
      </c>
      <c r="B8" s="132" t="s">
        <v>322</v>
      </c>
      <c r="C8" s="41">
        <v>1200</v>
      </c>
      <c r="D8" s="41"/>
      <c r="L8" s="151"/>
    </row>
    <row r="9" spans="1:27" x14ac:dyDescent="0.2">
      <c r="L9" s="151"/>
    </row>
    <row r="12" spans="1:27" x14ac:dyDescent="0.2">
      <c r="E12" s="145"/>
      <c r="F12" s="255" t="s">
        <v>328</v>
      </c>
      <c r="G12" s="256"/>
      <c r="H12" s="256"/>
      <c r="I12" s="256"/>
      <c r="J12" s="256"/>
      <c r="K12" s="256"/>
      <c r="L12" s="256"/>
      <c r="M12" s="256"/>
      <c r="N12" s="257"/>
      <c r="O12" s="142"/>
      <c r="Q12" s="145"/>
      <c r="R12" s="268" t="s">
        <v>334</v>
      </c>
      <c r="S12" s="268"/>
      <c r="T12" s="268"/>
      <c r="U12" s="268"/>
      <c r="V12" s="268"/>
      <c r="W12" s="268"/>
      <c r="X12" s="268"/>
      <c r="Y12" s="268"/>
      <c r="Z12" s="268"/>
      <c r="AA12" s="146"/>
    </row>
    <row r="13" spans="1:27" x14ac:dyDescent="0.2">
      <c r="E13" s="268" t="s">
        <v>329</v>
      </c>
      <c r="F13" s="268" t="s">
        <v>331</v>
      </c>
      <c r="G13" s="268"/>
      <c r="H13" s="268"/>
      <c r="I13" s="268" t="s">
        <v>322</v>
      </c>
      <c r="J13" s="268"/>
      <c r="K13" s="268"/>
      <c r="L13" s="255" t="s">
        <v>72</v>
      </c>
      <c r="M13" s="256"/>
      <c r="N13" s="257"/>
      <c r="O13" s="142"/>
      <c r="Q13" s="268" t="s">
        <v>329</v>
      </c>
      <c r="R13" s="268" t="s">
        <v>331</v>
      </c>
      <c r="S13" s="268"/>
      <c r="T13" s="268"/>
      <c r="U13" s="268" t="s">
        <v>322</v>
      </c>
      <c r="V13" s="268"/>
      <c r="W13" s="268"/>
      <c r="X13" s="268" t="s">
        <v>72</v>
      </c>
      <c r="Y13" s="268"/>
      <c r="Z13" s="268"/>
      <c r="AA13" s="146"/>
    </row>
    <row r="14" spans="1:27" x14ac:dyDescent="0.2">
      <c r="E14" s="268"/>
      <c r="F14" s="176" t="s">
        <v>320</v>
      </c>
      <c r="G14" s="176" t="s">
        <v>327</v>
      </c>
      <c r="H14" s="176" t="s">
        <v>168</v>
      </c>
      <c r="I14" s="176" t="s">
        <v>320</v>
      </c>
      <c r="J14" s="176" t="s">
        <v>327</v>
      </c>
      <c r="K14" s="176" t="s">
        <v>168</v>
      </c>
      <c r="L14" s="176" t="s">
        <v>320</v>
      </c>
      <c r="M14" s="176" t="s">
        <v>327</v>
      </c>
      <c r="N14" s="176" t="s">
        <v>168</v>
      </c>
      <c r="O14" s="142"/>
      <c r="Q14" s="268"/>
      <c r="R14" s="176" t="s">
        <v>320</v>
      </c>
      <c r="S14" s="176" t="s">
        <v>327</v>
      </c>
      <c r="T14" s="176" t="s">
        <v>168</v>
      </c>
      <c r="U14" s="176" t="s">
        <v>320</v>
      </c>
      <c r="V14" s="176" t="s">
        <v>327</v>
      </c>
      <c r="W14" s="176" t="s">
        <v>168</v>
      </c>
      <c r="X14" s="176" t="s">
        <v>320</v>
      </c>
      <c r="Y14" s="176" t="s">
        <v>327</v>
      </c>
      <c r="Z14" s="176" t="s">
        <v>168</v>
      </c>
      <c r="AA14" s="146"/>
    </row>
    <row r="15" spans="1:27" x14ac:dyDescent="0.2">
      <c r="E15" s="177" t="s">
        <v>330</v>
      </c>
      <c r="F15" s="173"/>
      <c r="G15" s="173"/>
      <c r="H15" s="173"/>
      <c r="I15" s="173"/>
      <c r="J15" s="173"/>
      <c r="K15" s="173"/>
      <c r="L15" s="173">
        <v>1000</v>
      </c>
      <c r="M15" s="173">
        <v>4.4000000000000004</v>
      </c>
      <c r="N15" s="173">
        <f>L15*M15</f>
        <v>4400</v>
      </c>
      <c r="O15" s="142"/>
      <c r="Q15" s="177" t="s">
        <v>330</v>
      </c>
      <c r="R15" s="173"/>
      <c r="S15" s="173"/>
      <c r="T15" s="173"/>
      <c r="U15" s="173"/>
      <c r="V15" s="173"/>
      <c r="W15" s="173"/>
      <c r="X15" s="173">
        <v>1000</v>
      </c>
      <c r="Y15" s="173">
        <v>4.4000000000000004</v>
      </c>
      <c r="Z15" s="173">
        <f>X15*Y15</f>
        <v>4400</v>
      </c>
      <c r="AA15" s="146"/>
    </row>
    <row r="16" spans="1:27" x14ac:dyDescent="0.2">
      <c r="E16" s="178">
        <v>45448</v>
      </c>
      <c r="F16" s="63"/>
      <c r="G16" s="63"/>
      <c r="H16" s="63"/>
      <c r="I16" s="63">
        <v>200</v>
      </c>
      <c r="J16" s="63">
        <v>4.4000000000000004</v>
      </c>
      <c r="K16" s="63">
        <f>I16*J16</f>
        <v>880.00000000000011</v>
      </c>
      <c r="L16" s="63">
        <f>L15-I16</f>
        <v>800</v>
      </c>
      <c r="M16" s="63">
        <v>4.4000000000000004</v>
      </c>
      <c r="N16" s="63">
        <f t="shared" ref="N16:N18" si="0">L16*M16</f>
        <v>3520.0000000000005</v>
      </c>
      <c r="O16" s="142"/>
      <c r="Q16" s="178">
        <v>45448</v>
      </c>
      <c r="R16" s="63"/>
      <c r="S16" s="63"/>
      <c r="T16" s="63"/>
      <c r="U16" s="63">
        <v>200</v>
      </c>
      <c r="V16" s="63">
        <v>4.4000000000000004</v>
      </c>
      <c r="W16" s="63">
        <f>U16*V16</f>
        <v>880.00000000000011</v>
      </c>
      <c r="X16" s="63">
        <f>X15-U16</f>
        <v>800</v>
      </c>
      <c r="Y16" s="63">
        <v>4.4000000000000004</v>
      </c>
      <c r="Z16" s="63">
        <f t="shared" ref="Z16" si="1">X16*Y16</f>
        <v>3520.0000000000005</v>
      </c>
      <c r="AA16" s="146"/>
    </row>
    <row r="17" spans="5:27" x14ac:dyDescent="0.2">
      <c r="E17" s="269">
        <v>45452</v>
      </c>
      <c r="F17" s="173">
        <v>600</v>
      </c>
      <c r="G17" s="173">
        <v>5.45</v>
      </c>
      <c r="H17" s="173">
        <f>F17*G17</f>
        <v>3270</v>
      </c>
      <c r="I17" s="173"/>
      <c r="J17" s="173"/>
      <c r="K17" s="173"/>
      <c r="L17" s="173">
        <f>L16</f>
        <v>800</v>
      </c>
      <c r="M17" s="173">
        <v>4.4000000000000004</v>
      </c>
      <c r="N17" s="173">
        <f t="shared" si="0"/>
        <v>3520.0000000000005</v>
      </c>
      <c r="O17" s="142"/>
      <c r="Q17" s="269">
        <v>45452</v>
      </c>
      <c r="R17" s="173">
        <v>600</v>
      </c>
      <c r="S17" s="173">
        <v>5.45</v>
      </c>
      <c r="T17" s="173">
        <f>R17*S17</f>
        <v>3270</v>
      </c>
      <c r="U17" s="173"/>
      <c r="V17" s="173"/>
      <c r="W17" s="173"/>
      <c r="X17" s="173">
        <v>600</v>
      </c>
      <c r="Y17" s="173">
        <v>5.45</v>
      </c>
      <c r="Z17" s="173">
        <f t="shared" ref="Z17:Z28" si="2">X17*Y17</f>
        <v>3270</v>
      </c>
      <c r="AA17" s="146"/>
    </row>
    <row r="18" spans="5:27" x14ac:dyDescent="0.2">
      <c r="E18" s="268"/>
      <c r="F18" s="63"/>
      <c r="G18" s="63"/>
      <c r="H18" s="63"/>
      <c r="I18" s="63"/>
      <c r="J18" s="63"/>
      <c r="K18" s="63"/>
      <c r="L18" s="63">
        <v>600</v>
      </c>
      <c r="M18" s="63">
        <v>5.45</v>
      </c>
      <c r="N18" s="63">
        <f t="shared" si="0"/>
        <v>3270</v>
      </c>
      <c r="O18" s="142"/>
      <c r="Q18" s="268"/>
      <c r="R18" s="63"/>
      <c r="S18" s="63"/>
      <c r="T18" s="63"/>
      <c r="U18" s="63"/>
      <c r="V18" s="63"/>
      <c r="W18" s="63"/>
      <c r="X18" s="63">
        <f>X16</f>
        <v>800</v>
      </c>
      <c r="Y18" s="63">
        <v>4.4000000000000004</v>
      </c>
      <c r="Z18" s="63">
        <f t="shared" si="2"/>
        <v>3520.0000000000005</v>
      </c>
      <c r="AA18" s="146"/>
    </row>
    <row r="19" spans="5:27" x14ac:dyDescent="0.2">
      <c r="E19" s="269">
        <v>45455</v>
      </c>
      <c r="F19" s="173"/>
      <c r="G19" s="173"/>
      <c r="H19" s="173"/>
      <c r="I19" s="173">
        <v>250</v>
      </c>
      <c r="J19" s="173">
        <v>4.4000000000000004</v>
      </c>
      <c r="K19" s="173">
        <f t="shared" ref="K19" si="3">I19*J19</f>
        <v>1100</v>
      </c>
      <c r="L19" s="173">
        <v>550</v>
      </c>
      <c r="M19" s="173">
        <v>4.4000000000000004</v>
      </c>
      <c r="N19" s="173">
        <f t="shared" ref="N19:N28" si="4">L19*M19</f>
        <v>2420</v>
      </c>
      <c r="O19" s="142"/>
      <c r="Q19" s="269">
        <v>45455</v>
      </c>
      <c r="R19" s="173"/>
      <c r="S19" s="173"/>
      <c r="T19" s="173"/>
      <c r="U19" s="173">
        <v>250</v>
      </c>
      <c r="V19" s="173">
        <v>5.45</v>
      </c>
      <c r="W19" s="173">
        <f t="shared" ref="W19" si="5">U19*V19</f>
        <v>1362.5</v>
      </c>
      <c r="X19" s="173">
        <f>X17-U19</f>
        <v>350</v>
      </c>
      <c r="Y19" s="173">
        <v>5.45</v>
      </c>
      <c r="Z19" s="173">
        <f t="shared" si="2"/>
        <v>1907.5</v>
      </c>
      <c r="AA19" s="146"/>
    </row>
    <row r="20" spans="5:27" x14ac:dyDescent="0.2">
      <c r="E20" s="268"/>
      <c r="F20" s="63"/>
      <c r="G20" s="63"/>
      <c r="H20" s="63"/>
      <c r="I20" s="63"/>
      <c r="J20" s="63"/>
      <c r="K20" s="63"/>
      <c r="L20" s="63">
        <v>600</v>
      </c>
      <c r="M20" s="63">
        <v>5.45</v>
      </c>
      <c r="N20" s="63">
        <f t="shared" si="4"/>
        <v>3270</v>
      </c>
      <c r="O20" s="142"/>
      <c r="Q20" s="268"/>
      <c r="R20" s="63"/>
      <c r="S20" s="63"/>
      <c r="T20" s="63"/>
      <c r="U20" s="63"/>
      <c r="V20" s="63"/>
      <c r="W20" s="63"/>
      <c r="X20" s="63">
        <f>X18</f>
        <v>800</v>
      </c>
      <c r="Y20" s="63">
        <v>4.4000000000000004</v>
      </c>
      <c r="Z20" s="63">
        <f t="shared" si="2"/>
        <v>3520.0000000000005</v>
      </c>
      <c r="AA20" s="146"/>
    </row>
    <row r="21" spans="5:27" x14ac:dyDescent="0.2">
      <c r="E21" s="269">
        <v>45463</v>
      </c>
      <c r="F21" s="173"/>
      <c r="G21" s="173"/>
      <c r="H21" s="173"/>
      <c r="I21" s="173"/>
      <c r="J21" s="173"/>
      <c r="K21" s="173"/>
      <c r="L21" s="173">
        <v>400</v>
      </c>
      <c r="M21" s="173">
        <v>4.4000000000000004</v>
      </c>
      <c r="N21" s="173">
        <f t="shared" si="4"/>
        <v>1760.0000000000002</v>
      </c>
      <c r="O21" s="142"/>
      <c r="Q21" s="269">
        <v>45463</v>
      </c>
      <c r="R21" s="173"/>
      <c r="S21" s="173"/>
      <c r="T21" s="173"/>
      <c r="U21" s="173"/>
      <c r="V21" s="173"/>
      <c r="W21" s="173"/>
      <c r="X21" s="173">
        <f>X19-U22</f>
        <v>200</v>
      </c>
      <c r="Y21" s="173">
        <v>5.45</v>
      </c>
      <c r="Z21" s="173">
        <f t="shared" si="2"/>
        <v>1090</v>
      </c>
      <c r="AA21" s="146"/>
    </row>
    <row r="22" spans="5:27" x14ac:dyDescent="0.2">
      <c r="E22" s="268"/>
      <c r="F22" s="63"/>
      <c r="G22" s="63"/>
      <c r="H22" s="63"/>
      <c r="I22" s="63">
        <v>150</v>
      </c>
      <c r="J22" s="63">
        <v>4.4000000000000004</v>
      </c>
      <c r="K22" s="63">
        <f t="shared" ref="K22" si="6">I22*J22</f>
        <v>660</v>
      </c>
      <c r="L22" s="63">
        <v>600</v>
      </c>
      <c r="M22" s="63">
        <v>5.45</v>
      </c>
      <c r="N22" s="63">
        <f t="shared" si="4"/>
        <v>3270</v>
      </c>
      <c r="O22" s="142"/>
      <c r="Q22" s="268"/>
      <c r="R22" s="63"/>
      <c r="S22" s="63"/>
      <c r="T22" s="63"/>
      <c r="U22" s="63">
        <v>150</v>
      </c>
      <c r="V22" s="63">
        <v>5.45</v>
      </c>
      <c r="W22" s="63">
        <f t="shared" ref="W22" si="7">U22*V22</f>
        <v>817.5</v>
      </c>
      <c r="X22" s="63">
        <f>X20</f>
        <v>800</v>
      </c>
      <c r="Y22" s="63">
        <v>4.4000000000000004</v>
      </c>
      <c r="Z22" s="63">
        <f t="shared" si="2"/>
        <v>3520.0000000000005</v>
      </c>
      <c r="AA22" s="146"/>
    </row>
    <row r="23" spans="5:27" x14ac:dyDescent="0.2">
      <c r="E23" s="264">
        <v>45466</v>
      </c>
      <c r="F23" s="173">
        <v>500</v>
      </c>
      <c r="G23" s="173">
        <v>4.38</v>
      </c>
      <c r="H23" s="173">
        <f>F23*G23</f>
        <v>2190</v>
      </c>
      <c r="I23" s="173"/>
      <c r="J23" s="173"/>
      <c r="K23" s="173"/>
      <c r="L23" s="173">
        <v>400</v>
      </c>
      <c r="M23" s="173">
        <v>4.4000000000000004</v>
      </c>
      <c r="N23" s="173">
        <f t="shared" si="4"/>
        <v>1760.0000000000002</v>
      </c>
      <c r="O23" s="142"/>
      <c r="Q23" s="264">
        <v>45466</v>
      </c>
      <c r="R23" s="173">
        <v>500</v>
      </c>
      <c r="S23" s="173">
        <v>4.38</v>
      </c>
      <c r="T23" s="173">
        <f>R23*S23</f>
        <v>2190</v>
      </c>
      <c r="U23" s="173"/>
      <c r="V23" s="173"/>
      <c r="W23" s="173"/>
      <c r="X23" s="174">
        <v>500</v>
      </c>
      <c r="Y23" s="174">
        <v>4.38</v>
      </c>
      <c r="Z23" s="174">
        <f t="shared" si="2"/>
        <v>2190</v>
      </c>
      <c r="AA23" s="146"/>
    </row>
    <row r="24" spans="5:27" x14ac:dyDescent="0.2">
      <c r="E24" s="265"/>
      <c r="F24" s="63"/>
      <c r="G24" s="63"/>
      <c r="H24" s="63"/>
      <c r="I24" s="63"/>
      <c r="J24" s="63"/>
      <c r="K24" s="63"/>
      <c r="L24" s="63">
        <v>600</v>
      </c>
      <c r="M24" s="63">
        <v>5.45</v>
      </c>
      <c r="N24" s="63">
        <f t="shared" si="4"/>
        <v>3270</v>
      </c>
      <c r="O24" s="142"/>
      <c r="Q24" s="265"/>
      <c r="R24" s="63"/>
      <c r="S24" s="63"/>
      <c r="T24" s="63"/>
      <c r="U24" s="63"/>
      <c r="V24" s="63"/>
      <c r="W24" s="63"/>
      <c r="X24" s="134">
        <f>X21</f>
        <v>200</v>
      </c>
      <c r="Y24" s="134">
        <v>5.45</v>
      </c>
      <c r="Z24" s="134">
        <f t="shared" si="2"/>
        <v>1090</v>
      </c>
      <c r="AA24" s="146"/>
    </row>
    <row r="25" spans="5:27" x14ac:dyDescent="0.2">
      <c r="E25" s="266"/>
      <c r="F25" s="173"/>
      <c r="G25" s="173"/>
      <c r="H25" s="173"/>
      <c r="I25" s="173"/>
      <c r="J25" s="173"/>
      <c r="K25" s="173"/>
      <c r="L25" s="173">
        <v>500</v>
      </c>
      <c r="M25" s="173">
        <v>4.38</v>
      </c>
      <c r="N25" s="173">
        <f t="shared" si="4"/>
        <v>2190</v>
      </c>
      <c r="O25" s="142"/>
      <c r="Q25" s="266"/>
      <c r="R25" s="173"/>
      <c r="S25" s="173"/>
      <c r="T25" s="173"/>
      <c r="U25" s="173"/>
      <c r="V25" s="173"/>
      <c r="W25" s="173"/>
      <c r="X25" s="174">
        <f>X22</f>
        <v>800</v>
      </c>
      <c r="Y25" s="174">
        <v>4.4000000000000004</v>
      </c>
      <c r="Z25" s="174">
        <f t="shared" si="2"/>
        <v>3520.0000000000005</v>
      </c>
      <c r="AA25" s="146"/>
    </row>
    <row r="26" spans="5:27" x14ac:dyDescent="0.2">
      <c r="E26" s="264">
        <v>45473</v>
      </c>
      <c r="F26" s="63"/>
      <c r="G26" s="63"/>
      <c r="H26" s="63"/>
      <c r="I26" s="63">
        <v>400</v>
      </c>
      <c r="J26" s="63">
        <v>4.4000000000000004</v>
      </c>
      <c r="K26" s="63">
        <f>I26*J26</f>
        <v>1760.0000000000002</v>
      </c>
      <c r="L26" s="138">
        <f>SUM(L23:L25)-SUM(I26:I28)</f>
        <v>300</v>
      </c>
      <c r="M26" s="138">
        <v>4.38</v>
      </c>
      <c r="N26" s="138">
        <f t="shared" si="4"/>
        <v>1314</v>
      </c>
      <c r="O26" s="1" t="s">
        <v>337</v>
      </c>
      <c r="Q26" s="264">
        <v>45473</v>
      </c>
      <c r="R26" s="63"/>
      <c r="S26" s="63"/>
      <c r="T26" s="63"/>
      <c r="U26" s="63">
        <v>500</v>
      </c>
      <c r="V26" s="63">
        <v>4.38</v>
      </c>
      <c r="W26" s="63">
        <f>U26*V26</f>
        <v>2190</v>
      </c>
      <c r="X26" s="138">
        <f>SUM(X23:X25)-SUM(U26:U28)</f>
        <v>300</v>
      </c>
      <c r="Y26" s="138">
        <v>4.4000000000000004</v>
      </c>
      <c r="Z26" s="138">
        <f t="shared" si="2"/>
        <v>1320</v>
      </c>
      <c r="AA26" s="1" t="s">
        <v>337</v>
      </c>
    </row>
    <row r="27" spans="5:27" x14ac:dyDescent="0.2">
      <c r="E27" s="265"/>
      <c r="F27" s="173"/>
      <c r="G27" s="173"/>
      <c r="H27" s="173"/>
      <c r="I27" s="173">
        <v>600</v>
      </c>
      <c r="J27" s="173">
        <v>5.45</v>
      </c>
      <c r="K27" s="173">
        <f t="shared" ref="K27:K28" si="8">I27*J27</f>
        <v>3270</v>
      </c>
      <c r="L27" s="1">
        <v>50</v>
      </c>
      <c r="M27" s="138">
        <v>4.38</v>
      </c>
      <c r="N27" s="1">
        <f t="shared" si="4"/>
        <v>219</v>
      </c>
      <c r="O27" s="1" t="s">
        <v>338</v>
      </c>
      <c r="Q27" s="265"/>
      <c r="R27" s="173"/>
      <c r="S27" s="173"/>
      <c r="T27" s="173"/>
      <c r="U27" s="173">
        <v>200</v>
      </c>
      <c r="V27" s="173">
        <v>5.45</v>
      </c>
      <c r="W27" s="173">
        <f t="shared" ref="W27:W28" si="9">U27*V27</f>
        <v>1090</v>
      </c>
      <c r="X27" s="1">
        <v>50</v>
      </c>
      <c r="Y27" s="138">
        <v>4.4000000000000004</v>
      </c>
      <c r="Z27" s="1">
        <f t="shared" si="2"/>
        <v>220.00000000000003</v>
      </c>
      <c r="AA27" s="1" t="s">
        <v>338</v>
      </c>
    </row>
    <row r="28" spans="5:27" x14ac:dyDescent="0.2">
      <c r="E28" s="266"/>
      <c r="F28" s="63"/>
      <c r="G28" s="63"/>
      <c r="H28" s="63"/>
      <c r="I28" s="63">
        <v>200</v>
      </c>
      <c r="J28" s="63">
        <v>4.38</v>
      </c>
      <c r="K28" s="63">
        <f t="shared" si="8"/>
        <v>876</v>
      </c>
      <c r="L28" s="139">
        <v>350</v>
      </c>
      <c r="M28" s="139">
        <v>4.38</v>
      </c>
      <c r="N28" s="139">
        <f t="shared" si="4"/>
        <v>1533</v>
      </c>
      <c r="O28" s="139" t="s">
        <v>339</v>
      </c>
      <c r="Q28" s="266"/>
      <c r="R28" s="63"/>
      <c r="S28" s="63"/>
      <c r="T28" s="63"/>
      <c r="U28" s="63">
        <f>1200-U26-U27</f>
        <v>500</v>
      </c>
      <c r="V28" s="63">
        <v>4.4000000000000004</v>
      </c>
      <c r="W28" s="63">
        <f t="shared" si="9"/>
        <v>2200</v>
      </c>
      <c r="X28" s="139">
        <v>350</v>
      </c>
      <c r="Y28" s="139">
        <v>4.4000000000000004</v>
      </c>
      <c r="Z28" s="139">
        <f t="shared" si="2"/>
        <v>1540.0000000000002</v>
      </c>
      <c r="AA28" s="139" t="s">
        <v>339</v>
      </c>
    </row>
    <row r="29" spans="5:27" x14ac:dyDescent="0.2">
      <c r="E29" s="152"/>
      <c r="F29" s="142"/>
      <c r="G29" s="142"/>
      <c r="H29" s="142"/>
      <c r="I29" s="142"/>
      <c r="J29" s="142"/>
      <c r="Q29" s="152"/>
      <c r="R29" s="142"/>
      <c r="S29" s="142"/>
      <c r="T29" s="142"/>
      <c r="U29" s="142"/>
      <c r="V29" s="142"/>
    </row>
    <row r="33" spans="5:27" x14ac:dyDescent="0.2">
      <c r="E33" s="145"/>
      <c r="F33" s="268" t="s">
        <v>335</v>
      </c>
      <c r="G33" s="268"/>
      <c r="H33" s="268"/>
      <c r="I33" s="268"/>
      <c r="J33" s="268"/>
      <c r="K33" s="268"/>
      <c r="L33" s="268"/>
      <c r="M33" s="268"/>
      <c r="N33" s="268"/>
      <c r="O33" s="146"/>
      <c r="Q33" s="145"/>
      <c r="R33" s="268" t="s">
        <v>336</v>
      </c>
      <c r="S33" s="268"/>
      <c r="T33" s="268"/>
      <c r="U33" s="268"/>
      <c r="V33" s="268"/>
      <c r="W33" s="268"/>
      <c r="X33" s="268"/>
      <c r="Y33" s="268"/>
      <c r="Z33" s="268"/>
      <c r="AA33" s="142"/>
    </row>
    <row r="34" spans="5:27" x14ac:dyDescent="0.2">
      <c r="E34" s="268" t="s">
        <v>329</v>
      </c>
      <c r="F34" s="268" t="s">
        <v>331</v>
      </c>
      <c r="G34" s="268"/>
      <c r="H34" s="268"/>
      <c r="I34" s="268" t="s">
        <v>322</v>
      </c>
      <c r="J34" s="268"/>
      <c r="K34" s="268"/>
      <c r="L34" s="268" t="s">
        <v>72</v>
      </c>
      <c r="M34" s="268"/>
      <c r="N34" s="268"/>
      <c r="O34" s="146"/>
      <c r="Q34" s="268" t="s">
        <v>329</v>
      </c>
      <c r="R34" s="268" t="s">
        <v>331</v>
      </c>
      <c r="S34" s="268"/>
      <c r="T34" s="268"/>
      <c r="U34" s="258" t="s">
        <v>190</v>
      </c>
      <c r="V34" s="259"/>
      <c r="W34" s="260"/>
      <c r="X34" s="268" t="s">
        <v>340</v>
      </c>
      <c r="Y34" s="268"/>
      <c r="Z34" s="268"/>
      <c r="AA34" s="142"/>
    </row>
    <row r="35" spans="5:27" x14ac:dyDescent="0.2">
      <c r="E35" s="268"/>
      <c r="F35" s="176" t="s">
        <v>320</v>
      </c>
      <c r="G35" s="176" t="s">
        <v>327</v>
      </c>
      <c r="H35" s="176" t="s">
        <v>168</v>
      </c>
      <c r="I35" s="176" t="s">
        <v>320</v>
      </c>
      <c r="J35" s="176" t="s">
        <v>327</v>
      </c>
      <c r="K35" s="176" t="s">
        <v>168</v>
      </c>
      <c r="L35" s="176" t="s">
        <v>320</v>
      </c>
      <c r="M35" s="176" t="s">
        <v>327</v>
      </c>
      <c r="N35" s="176" t="s">
        <v>168</v>
      </c>
      <c r="O35" s="146"/>
      <c r="Q35" s="268"/>
      <c r="R35" s="176" t="s">
        <v>320</v>
      </c>
      <c r="S35" s="176" t="s">
        <v>327</v>
      </c>
      <c r="T35" s="176" t="s">
        <v>168</v>
      </c>
      <c r="U35" s="261"/>
      <c r="V35" s="262"/>
      <c r="W35" s="263"/>
      <c r="X35" s="176" t="s">
        <v>320</v>
      </c>
      <c r="Y35" s="176" t="s">
        <v>327</v>
      </c>
      <c r="Z35" s="176" t="s">
        <v>168</v>
      </c>
      <c r="AA35" s="142"/>
    </row>
    <row r="36" spans="5:27" x14ac:dyDescent="0.2">
      <c r="E36" s="177" t="s">
        <v>330</v>
      </c>
      <c r="F36" s="173"/>
      <c r="G36" s="173"/>
      <c r="H36" s="173"/>
      <c r="I36" s="173"/>
      <c r="J36" s="173"/>
      <c r="K36" s="173"/>
      <c r="L36" s="173">
        <v>1000</v>
      </c>
      <c r="M36" s="173">
        <v>4.4000000000000004</v>
      </c>
      <c r="N36" s="173">
        <f>L36*M36</f>
        <v>4400</v>
      </c>
      <c r="O36" s="146"/>
      <c r="Q36" s="177" t="s">
        <v>330</v>
      </c>
      <c r="R36" s="173">
        <v>1000</v>
      </c>
      <c r="S36" s="173">
        <v>4.4000000000000004</v>
      </c>
      <c r="T36" s="173">
        <f>R36*S36</f>
        <v>4400</v>
      </c>
      <c r="U36" s="267">
        <v>45448</v>
      </c>
      <c r="V36" s="256"/>
      <c r="W36" s="257"/>
      <c r="X36" s="173">
        <v>200</v>
      </c>
      <c r="Y36" s="173">
        <v>4.7</v>
      </c>
      <c r="Z36" s="173">
        <f>X36*Y36</f>
        <v>940</v>
      </c>
      <c r="AA36" s="142"/>
    </row>
    <row r="37" spans="5:27" x14ac:dyDescent="0.2">
      <c r="E37" s="178">
        <v>45448</v>
      </c>
      <c r="F37" s="63"/>
      <c r="G37" s="63"/>
      <c r="H37" s="63"/>
      <c r="I37" s="63">
        <v>200</v>
      </c>
      <c r="J37" s="63">
        <v>4.4000000000000004</v>
      </c>
      <c r="K37" s="63">
        <f>I37*J37</f>
        <v>880.00000000000011</v>
      </c>
      <c r="L37" s="63">
        <f>L36-I37</f>
        <v>800</v>
      </c>
      <c r="M37" s="63">
        <v>4.4000000000000004</v>
      </c>
      <c r="N37" s="63">
        <f t="shared" ref="N37" si="10">L37*M37</f>
        <v>3520.0000000000005</v>
      </c>
      <c r="O37" s="146"/>
      <c r="Q37" s="178">
        <v>45452</v>
      </c>
      <c r="R37" s="63">
        <v>600</v>
      </c>
      <c r="S37" s="63">
        <v>5.45</v>
      </c>
      <c r="T37" s="63">
        <f t="shared" ref="T37:T38" si="11">R37*S37</f>
        <v>3270</v>
      </c>
      <c r="U37" s="267">
        <v>45455</v>
      </c>
      <c r="V37" s="256"/>
      <c r="W37" s="257"/>
      <c r="X37" s="63">
        <v>250</v>
      </c>
      <c r="Y37" s="63">
        <v>4.7</v>
      </c>
      <c r="Z37" s="63">
        <f t="shared" ref="Z37:Z41" si="12">X37*Y37</f>
        <v>1175</v>
      </c>
      <c r="AA37" s="142"/>
    </row>
    <row r="38" spans="5:27" x14ac:dyDescent="0.2">
      <c r="E38" s="178">
        <v>45452</v>
      </c>
      <c r="F38" s="173">
        <v>600</v>
      </c>
      <c r="G38" s="173">
        <v>5.45</v>
      </c>
      <c r="H38" s="173">
        <f>F38*G38</f>
        <v>3270</v>
      </c>
      <c r="I38" s="173"/>
      <c r="J38" s="173"/>
      <c r="K38" s="173"/>
      <c r="L38" s="173">
        <f>L37+F38</f>
        <v>1400</v>
      </c>
      <c r="M38" s="173">
        <f>N38/L38</f>
        <v>4.8499999999999996</v>
      </c>
      <c r="N38" s="173">
        <f>N37+H38</f>
        <v>6790</v>
      </c>
      <c r="O38" s="146"/>
      <c r="Q38" s="179">
        <v>45466</v>
      </c>
      <c r="R38" s="173">
        <v>500</v>
      </c>
      <c r="S38" s="173">
        <v>4.38</v>
      </c>
      <c r="T38" s="173">
        <f t="shared" si="11"/>
        <v>2190</v>
      </c>
      <c r="U38" s="267">
        <v>45463</v>
      </c>
      <c r="V38" s="256"/>
      <c r="W38" s="257"/>
      <c r="X38" s="173">
        <v>150</v>
      </c>
      <c r="Y38" s="173">
        <v>4.7</v>
      </c>
      <c r="Z38" s="173">
        <f t="shared" si="12"/>
        <v>705</v>
      </c>
      <c r="AA38" s="142"/>
    </row>
    <row r="39" spans="5:27" x14ac:dyDescent="0.2">
      <c r="E39" s="178">
        <v>45455</v>
      </c>
      <c r="F39" s="63"/>
      <c r="G39" s="63"/>
      <c r="H39" s="63"/>
      <c r="I39" s="63">
        <v>250</v>
      </c>
      <c r="J39" s="63">
        <v>4.8499999999999996</v>
      </c>
      <c r="K39" s="63">
        <f t="shared" ref="K39:K40" si="13">I39*J39</f>
        <v>1212.5</v>
      </c>
      <c r="L39" s="63">
        <f>L38-I39</f>
        <v>1150</v>
      </c>
      <c r="M39" s="63">
        <f>N39/L39</f>
        <v>4.8499999999999996</v>
      </c>
      <c r="N39" s="63">
        <f>N38-K39</f>
        <v>5577.5</v>
      </c>
      <c r="O39" s="146"/>
      <c r="Q39" s="178"/>
      <c r="R39" s="63"/>
      <c r="S39" s="63"/>
      <c r="T39" s="63"/>
      <c r="U39" s="267">
        <v>45473</v>
      </c>
      <c r="V39" s="256"/>
      <c r="W39" s="257"/>
      <c r="X39" s="63">
        <v>1200</v>
      </c>
      <c r="Y39" s="63">
        <v>4.7</v>
      </c>
      <c r="Z39" s="63">
        <f t="shared" si="12"/>
        <v>5640</v>
      </c>
      <c r="AA39" s="142"/>
    </row>
    <row r="40" spans="5:27" x14ac:dyDescent="0.2">
      <c r="E40" s="178">
        <v>45463</v>
      </c>
      <c r="F40" s="173"/>
      <c r="G40" s="173"/>
      <c r="H40" s="173"/>
      <c r="I40" s="173">
        <v>150</v>
      </c>
      <c r="J40" s="173">
        <v>4.8499999999999996</v>
      </c>
      <c r="K40" s="173">
        <f t="shared" si="13"/>
        <v>727.5</v>
      </c>
      <c r="L40" s="173">
        <f>L39-I40</f>
        <v>1000</v>
      </c>
      <c r="M40" s="173">
        <f>N40/L40</f>
        <v>4.8499999999999996</v>
      </c>
      <c r="N40" s="173">
        <f>N39-K40</f>
        <v>4850</v>
      </c>
      <c r="O40" s="146"/>
      <c r="Q40" s="178"/>
      <c r="R40" s="173"/>
      <c r="S40" s="175"/>
      <c r="T40" s="173"/>
      <c r="U40" s="255" t="s">
        <v>341</v>
      </c>
      <c r="V40" s="256"/>
      <c r="W40" s="257"/>
      <c r="X40" s="173">
        <v>350</v>
      </c>
      <c r="Y40" s="173">
        <v>4.7</v>
      </c>
      <c r="Z40" s="173">
        <f t="shared" si="12"/>
        <v>1645</v>
      </c>
      <c r="AA40" s="142"/>
    </row>
    <row r="41" spans="5:27" x14ac:dyDescent="0.2">
      <c r="E41" s="179">
        <v>45466</v>
      </c>
      <c r="F41" s="63">
        <v>500</v>
      </c>
      <c r="G41" s="63">
        <v>4.38</v>
      </c>
      <c r="H41" s="63">
        <f>F41*G41</f>
        <v>2190</v>
      </c>
      <c r="I41" s="63"/>
      <c r="J41" s="63"/>
      <c r="K41" s="63"/>
      <c r="L41" s="134">
        <f>L40+F41</f>
        <v>1500</v>
      </c>
      <c r="M41" s="140">
        <f>N41/L41</f>
        <v>4.6933333333333334</v>
      </c>
      <c r="N41" s="134">
        <f>N40+H41</f>
        <v>7040</v>
      </c>
      <c r="O41" s="146"/>
      <c r="Q41" s="178"/>
      <c r="R41" s="63"/>
      <c r="S41" s="143"/>
      <c r="T41" s="63"/>
      <c r="U41" s="255" t="s">
        <v>338</v>
      </c>
      <c r="V41" s="256"/>
      <c r="W41" s="257"/>
      <c r="X41" s="134">
        <f>R43-SUM(X36:X40)</f>
        <v>-50</v>
      </c>
      <c r="Y41" s="63">
        <v>4.7</v>
      </c>
      <c r="Z41" s="63">
        <f t="shared" si="12"/>
        <v>-235</v>
      </c>
      <c r="AA41" s="142"/>
    </row>
    <row r="42" spans="5:27" x14ac:dyDescent="0.2">
      <c r="E42" s="264">
        <v>45473</v>
      </c>
      <c r="F42" s="63"/>
      <c r="G42" s="63"/>
      <c r="H42" s="63"/>
      <c r="I42" s="63">
        <v>1200</v>
      </c>
      <c r="J42" s="63">
        <v>4.6900000000000004</v>
      </c>
      <c r="K42" s="63">
        <f>I42*J42</f>
        <v>5628.0000000000009</v>
      </c>
      <c r="L42" s="138">
        <f>L41-I42</f>
        <v>300</v>
      </c>
      <c r="M42" s="141">
        <f>N42/L42</f>
        <v>4.7066666666666634</v>
      </c>
      <c r="N42" s="138">
        <f>N41-K42</f>
        <v>1411.9999999999991</v>
      </c>
      <c r="O42" s="1" t="s">
        <v>337</v>
      </c>
      <c r="Q42" s="177"/>
      <c r="R42" s="173"/>
      <c r="S42" s="173"/>
      <c r="T42" s="173"/>
      <c r="U42" s="255" t="s">
        <v>342</v>
      </c>
      <c r="V42" s="256"/>
      <c r="W42" s="257"/>
      <c r="X42" s="174"/>
      <c r="Y42" s="174"/>
      <c r="Z42" s="173">
        <f>T43-SUM(Z36:Z41)</f>
        <v>-10</v>
      </c>
    </row>
    <row r="43" spans="5:27" x14ac:dyDescent="0.2">
      <c r="E43" s="265"/>
      <c r="F43" s="173"/>
      <c r="G43" s="173"/>
      <c r="H43" s="173"/>
      <c r="I43" s="173"/>
      <c r="J43" s="173"/>
      <c r="K43" s="173"/>
      <c r="L43" s="1">
        <v>50</v>
      </c>
      <c r="M43" s="138">
        <v>4.71</v>
      </c>
      <c r="N43" s="1">
        <f>L43*M43</f>
        <v>235.5</v>
      </c>
      <c r="O43" s="1" t="s">
        <v>338</v>
      </c>
      <c r="Q43" s="178" t="s">
        <v>16</v>
      </c>
      <c r="R43" s="63">
        <f>SUM(R36:R39)</f>
        <v>2100</v>
      </c>
      <c r="S43" s="143">
        <f>AVERAGE(S36:S38)</f>
        <v>4.7433333333333332</v>
      </c>
      <c r="T43" s="63">
        <f>SUM(T36:T38)</f>
        <v>9860</v>
      </c>
      <c r="U43" s="255" t="s">
        <v>16</v>
      </c>
      <c r="V43" s="256"/>
      <c r="W43" s="257"/>
      <c r="X43" s="63">
        <f>SUM(X36:X41)</f>
        <v>2100</v>
      </c>
      <c r="Y43" s="63">
        <v>4.7</v>
      </c>
      <c r="Z43" s="63">
        <f>SUM(Z36:Z42)</f>
        <v>9860</v>
      </c>
    </row>
    <row r="44" spans="5:27" x14ac:dyDescent="0.2">
      <c r="E44" s="266"/>
      <c r="F44" s="63"/>
      <c r="G44" s="63"/>
      <c r="H44" s="63"/>
      <c r="I44" s="63"/>
      <c r="J44" s="63"/>
      <c r="K44" s="63"/>
      <c r="L44" s="139">
        <v>350</v>
      </c>
      <c r="M44" s="139">
        <v>4.71</v>
      </c>
      <c r="N44" s="139">
        <f>L44*M44</f>
        <v>1648.5</v>
      </c>
      <c r="O44" s="139" t="s">
        <v>339</v>
      </c>
    </row>
  </sheetData>
  <mergeCells count="39">
    <mergeCell ref="F12:N12"/>
    <mergeCell ref="R12:Z12"/>
    <mergeCell ref="E13:E14"/>
    <mergeCell ref="F13:H13"/>
    <mergeCell ref="I13:K13"/>
    <mergeCell ref="L13:N13"/>
    <mergeCell ref="Q13:Q14"/>
    <mergeCell ref="R13:T13"/>
    <mergeCell ref="U13:W13"/>
    <mergeCell ref="X13:Z13"/>
    <mergeCell ref="E21:E22"/>
    <mergeCell ref="Q21:Q22"/>
    <mergeCell ref="E17:E18"/>
    <mergeCell ref="Q17:Q18"/>
    <mergeCell ref="E19:E20"/>
    <mergeCell ref="Q19:Q20"/>
    <mergeCell ref="X34:Z34"/>
    <mergeCell ref="F33:N33"/>
    <mergeCell ref="R33:Z33"/>
    <mergeCell ref="E34:E35"/>
    <mergeCell ref="F34:H34"/>
    <mergeCell ref="I34:K34"/>
    <mergeCell ref="L34:N34"/>
    <mergeCell ref="Q34:Q35"/>
    <mergeCell ref="E23:E25"/>
    <mergeCell ref="E26:E28"/>
    <mergeCell ref="Q23:Q25"/>
    <mergeCell ref="Q26:Q28"/>
    <mergeCell ref="U41:W41"/>
    <mergeCell ref="R34:T34"/>
    <mergeCell ref="U42:W42"/>
    <mergeCell ref="U43:W43"/>
    <mergeCell ref="U34:W35"/>
    <mergeCell ref="E42:E44"/>
    <mergeCell ref="U36:W36"/>
    <mergeCell ref="U37:W37"/>
    <mergeCell ref="U38:W38"/>
    <mergeCell ref="U39:W39"/>
    <mergeCell ref="U40:W40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5EAEF-D46B-E843-9FD5-C6B4EFEA9B14}">
  <dimension ref="A1:AL44"/>
  <sheetViews>
    <sheetView zoomScale="90" workbookViewId="0">
      <selection activeCell="K10" sqref="K10"/>
    </sheetView>
  </sheetViews>
  <sheetFormatPr baseColWidth="10" defaultRowHeight="16" x14ac:dyDescent="0.2"/>
  <cols>
    <col min="1" max="2" width="10.83203125" style="147"/>
    <col min="3" max="3" width="26.5" style="147" customWidth="1"/>
    <col min="4" max="4" width="17.33203125" style="147" bestFit="1" customWidth="1"/>
    <col min="5" max="5" width="18.1640625" style="147" bestFit="1" customWidth="1"/>
    <col min="6" max="6" width="12.5" style="147" customWidth="1"/>
    <col min="7" max="7" width="13.83203125" style="147" customWidth="1"/>
    <col min="8" max="8" width="13.83203125" style="147" bestFit="1" customWidth="1"/>
    <col min="9" max="9" width="13.33203125" style="147" bestFit="1" customWidth="1"/>
    <col min="10" max="10" width="10.83203125" style="147"/>
    <col min="11" max="11" width="13" style="147" customWidth="1"/>
    <col min="12" max="12" width="10.83203125" style="147"/>
    <col min="13" max="13" width="11.6640625" style="147" bestFit="1" customWidth="1"/>
    <col min="14" max="17" width="10.83203125" style="147"/>
    <col min="18" max="18" width="11.6640625" style="147" bestFit="1" customWidth="1"/>
    <col min="19" max="21" width="10.83203125" style="147"/>
    <col min="22" max="22" width="20.5" style="147" customWidth="1"/>
    <col min="23" max="23" width="10.83203125" style="147"/>
    <col min="24" max="24" width="13" style="147" bestFit="1" customWidth="1"/>
    <col min="25" max="25" width="10.6640625" style="147" bestFit="1" customWidth="1"/>
    <col min="26" max="28" width="10.83203125" style="147"/>
    <col min="29" max="29" width="12.1640625" style="147" bestFit="1" customWidth="1"/>
    <col min="30" max="33" width="10.83203125" style="147"/>
    <col min="34" max="34" width="17.1640625" style="147" bestFit="1" customWidth="1"/>
    <col min="35" max="35" width="13.83203125" style="147" bestFit="1" customWidth="1"/>
    <col min="36" max="36" width="20.6640625" style="147" bestFit="1" customWidth="1"/>
    <col min="37" max="37" width="10.83203125" style="147"/>
    <col min="38" max="38" width="13.1640625" style="147" bestFit="1" customWidth="1"/>
    <col min="39" max="16384" width="10.83203125" style="147"/>
  </cols>
  <sheetData>
    <row r="1" spans="1:38" x14ac:dyDescent="0.2">
      <c r="A1" s="142"/>
      <c r="B1" s="142"/>
      <c r="C1" s="142"/>
      <c r="D1" s="142"/>
    </row>
    <row r="2" spans="1:38" x14ac:dyDescent="0.2">
      <c r="A2" s="149"/>
      <c r="B2" s="150"/>
      <c r="C2" s="159"/>
      <c r="D2" s="159"/>
      <c r="E2" s="159"/>
      <c r="F2" s="159"/>
      <c r="G2" s="159"/>
      <c r="H2" s="159"/>
      <c r="I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V2" s="159"/>
      <c r="W2" s="159"/>
      <c r="X2" s="159"/>
      <c r="Y2" s="159"/>
      <c r="Z2" s="159"/>
      <c r="AA2" s="159"/>
      <c r="AB2" s="159"/>
      <c r="AC2" s="159"/>
      <c r="AE2" s="180" t="s">
        <v>382</v>
      </c>
      <c r="AF2" s="180" t="s">
        <v>374</v>
      </c>
      <c r="AG2" s="207"/>
      <c r="AH2" s="180" t="s">
        <v>383</v>
      </c>
      <c r="AI2" s="207"/>
      <c r="AJ2" s="180" t="s">
        <v>384</v>
      </c>
      <c r="AK2" s="207"/>
      <c r="AL2" s="180" t="s">
        <v>339</v>
      </c>
    </row>
    <row r="3" spans="1:38" x14ac:dyDescent="0.2">
      <c r="A3" s="149"/>
      <c r="B3" s="162"/>
      <c r="C3" s="276" t="s">
        <v>33</v>
      </c>
      <c r="D3" s="276" t="s">
        <v>349</v>
      </c>
      <c r="E3" s="276"/>
      <c r="F3" s="276" t="s">
        <v>350</v>
      </c>
      <c r="G3" s="276"/>
      <c r="H3" s="276"/>
      <c r="I3" s="276"/>
      <c r="J3" s="163"/>
      <c r="K3" s="197"/>
      <c r="L3" s="276" t="s">
        <v>368</v>
      </c>
      <c r="M3" s="276"/>
      <c r="N3" s="276"/>
      <c r="O3" s="276" t="s">
        <v>369</v>
      </c>
      <c r="P3" s="276"/>
      <c r="Q3" s="276"/>
      <c r="R3" s="276" t="s">
        <v>373</v>
      </c>
      <c r="S3" s="276"/>
      <c r="T3" s="276"/>
      <c r="U3" s="163"/>
      <c r="V3" s="181"/>
      <c r="W3" s="273" t="s">
        <v>379</v>
      </c>
      <c r="X3" s="274"/>
      <c r="Y3" s="275"/>
      <c r="Z3" s="276" t="s">
        <v>380</v>
      </c>
      <c r="AA3" s="276"/>
      <c r="AB3" s="276"/>
      <c r="AC3" s="276"/>
      <c r="AD3" s="163"/>
      <c r="AE3" s="181"/>
      <c r="AF3" s="203"/>
      <c r="AG3" s="203"/>
      <c r="AH3" s="203"/>
      <c r="AI3" s="203"/>
      <c r="AJ3" s="203" t="s">
        <v>385</v>
      </c>
      <c r="AK3" s="203"/>
      <c r="AL3" s="203" t="s">
        <v>386</v>
      </c>
    </row>
    <row r="4" spans="1:38" ht="17" x14ac:dyDescent="0.2">
      <c r="A4" s="149"/>
      <c r="B4" s="162"/>
      <c r="C4" s="276"/>
      <c r="D4" s="182" t="s">
        <v>343</v>
      </c>
      <c r="E4" s="182" t="s">
        <v>344</v>
      </c>
      <c r="F4" s="182" t="s">
        <v>345</v>
      </c>
      <c r="G4" s="182" t="s">
        <v>346</v>
      </c>
      <c r="H4" s="182" t="s">
        <v>347</v>
      </c>
      <c r="I4" s="182" t="s">
        <v>348</v>
      </c>
      <c r="J4" s="163"/>
      <c r="K4" s="197"/>
      <c r="L4" s="182" t="s">
        <v>370</v>
      </c>
      <c r="M4" s="182" t="s">
        <v>371</v>
      </c>
      <c r="N4" s="182" t="s">
        <v>372</v>
      </c>
      <c r="O4" s="182" t="s">
        <v>370</v>
      </c>
      <c r="P4" s="182" t="s">
        <v>371</v>
      </c>
      <c r="Q4" s="182" t="s">
        <v>372</v>
      </c>
      <c r="R4" s="182" t="s">
        <v>370</v>
      </c>
      <c r="S4" s="182" t="s">
        <v>371</v>
      </c>
      <c r="T4" s="182" t="s">
        <v>372</v>
      </c>
      <c r="U4" s="163"/>
      <c r="V4" s="181"/>
      <c r="W4" s="195" t="s">
        <v>370</v>
      </c>
      <c r="X4" s="195" t="s">
        <v>371</v>
      </c>
      <c r="Y4" s="195" t="s">
        <v>372</v>
      </c>
      <c r="Z4" s="193"/>
      <c r="AA4" s="195" t="s">
        <v>370</v>
      </c>
      <c r="AB4" s="195" t="s">
        <v>371</v>
      </c>
      <c r="AC4" s="195" t="s">
        <v>372</v>
      </c>
      <c r="AD4" s="163"/>
      <c r="AE4" s="197"/>
      <c r="AF4" s="182" t="s">
        <v>387</v>
      </c>
      <c r="AG4" s="182" t="s">
        <v>388</v>
      </c>
      <c r="AH4" s="182" t="s">
        <v>387</v>
      </c>
      <c r="AI4" s="182" t="s">
        <v>388</v>
      </c>
      <c r="AJ4" s="182" t="s">
        <v>389</v>
      </c>
      <c r="AK4" s="182" t="s">
        <v>390</v>
      </c>
      <c r="AL4" s="182"/>
    </row>
    <row r="5" spans="1:38" ht="34" x14ac:dyDescent="0.2">
      <c r="A5" s="149"/>
      <c r="B5" s="162"/>
      <c r="C5" s="181" t="s">
        <v>351</v>
      </c>
      <c r="D5" s="183">
        <v>18000</v>
      </c>
      <c r="E5" s="183">
        <v>30000</v>
      </c>
      <c r="F5" s="183">
        <v>1500</v>
      </c>
      <c r="G5" s="183">
        <v>15500</v>
      </c>
      <c r="H5" s="183">
        <v>13500</v>
      </c>
      <c r="I5" s="183">
        <v>5000</v>
      </c>
      <c r="J5" s="163"/>
      <c r="K5" s="197" t="s">
        <v>377</v>
      </c>
      <c r="L5" s="161">
        <v>100</v>
      </c>
      <c r="M5" s="161">
        <v>260</v>
      </c>
      <c r="N5" s="161">
        <f>L5*M5</f>
        <v>26000</v>
      </c>
      <c r="O5" s="161">
        <v>700</v>
      </c>
      <c r="P5" s="161">
        <v>48</v>
      </c>
      <c r="Q5" s="161">
        <f>O5*P5</f>
        <v>33600</v>
      </c>
      <c r="R5" s="161">
        <v>2100</v>
      </c>
      <c r="S5" s="161">
        <v>3</v>
      </c>
      <c r="T5" s="161">
        <f>R5*S5</f>
        <v>6300</v>
      </c>
      <c r="U5" s="163"/>
      <c r="V5" s="181" t="s">
        <v>368</v>
      </c>
      <c r="W5" s="219">
        <v>0.4</v>
      </c>
      <c r="X5" s="219"/>
      <c r="Y5" s="201">
        <f>R16*W5</f>
        <v>13397.560000000001</v>
      </c>
      <c r="Z5" s="197"/>
      <c r="AA5" s="219">
        <v>0.6</v>
      </c>
      <c r="AC5" s="201">
        <f>+R16*AA5</f>
        <v>20096.34</v>
      </c>
      <c r="AD5" s="163"/>
      <c r="AE5" s="181" t="s">
        <v>391</v>
      </c>
      <c r="AF5" s="204">
        <v>2100</v>
      </c>
      <c r="AG5" s="205">
        <v>46000</v>
      </c>
      <c r="AH5" s="204">
        <v>13000</v>
      </c>
      <c r="AI5" s="210">
        <v>278000</v>
      </c>
      <c r="AJ5" s="204">
        <v>2800</v>
      </c>
      <c r="AK5" s="204">
        <v>2900</v>
      </c>
      <c r="AL5" s="204">
        <v>9400</v>
      </c>
    </row>
    <row r="6" spans="1:38" ht="34" x14ac:dyDescent="0.2">
      <c r="A6" s="149"/>
      <c r="B6" s="162"/>
      <c r="C6" s="181" t="s">
        <v>352</v>
      </c>
      <c r="D6" s="161"/>
      <c r="E6" s="167">
        <v>0.1</v>
      </c>
      <c r="F6" s="165">
        <v>0.25</v>
      </c>
      <c r="G6" s="165">
        <v>0.2</v>
      </c>
      <c r="H6" s="165">
        <v>0.2</v>
      </c>
      <c r="I6" s="165">
        <v>0.25</v>
      </c>
      <c r="J6" s="163"/>
      <c r="K6" s="197" t="s">
        <v>378</v>
      </c>
      <c r="L6" s="185">
        <v>260</v>
      </c>
      <c r="M6" s="185">
        <v>17.63</v>
      </c>
      <c r="N6" s="185">
        <f>L6*M6</f>
        <v>4583.8</v>
      </c>
      <c r="O6" s="185">
        <v>336</v>
      </c>
      <c r="P6" s="185">
        <v>17.63</v>
      </c>
      <c r="Q6" s="185">
        <f>O6*P6</f>
        <v>5923.6799999999994</v>
      </c>
      <c r="R6" s="185">
        <v>63</v>
      </c>
      <c r="S6" s="185">
        <v>17.63</v>
      </c>
      <c r="T6" s="185">
        <f>R6*S6</f>
        <v>1110.6899999999998</v>
      </c>
      <c r="U6" s="163"/>
      <c r="V6" s="181" t="s">
        <v>369</v>
      </c>
      <c r="W6" s="220">
        <f>W5</f>
        <v>0.4</v>
      </c>
      <c r="X6" s="202"/>
      <c r="Y6" s="202">
        <f>R20*W6</f>
        <v>17609.600000000002</v>
      </c>
      <c r="Z6" s="197"/>
      <c r="AA6" s="220">
        <f>AA5</f>
        <v>0.6</v>
      </c>
      <c r="AB6" s="202"/>
      <c r="AC6" s="202">
        <f>R20*AA6</f>
        <v>26414.399999999998</v>
      </c>
      <c r="AD6" s="163"/>
      <c r="AE6" s="181" t="s">
        <v>392</v>
      </c>
      <c r="AF6" s="208">
        <v>4900</v>
      </c>
      <c r="AG6" s="209">
        <v>145000</v>
      </c>
      <c r="AH6" s="208">
        <v>11000</v>
      </c>
      <c r="AI6" s="210">
        <v>330000</v>
      </c>
      <c r="AJ6" s="208">
        <v>2000</v>
      </c>
      <c r="AK6" s="208">
        <v>5900</v>
      </c>
      <c r="AL6" s="208">
        <v>8000</v>
      </c>
    </row>
    <row r="7" spans="1:38" ht="17" x14ac:dyDescent="0.2">
      <c r="A7" s="149"/>
      <c r="B7" s="162"/>
      <c r="C7" s="181" t="s">
        <v>353</v>
      </c>
      <c r="D7" s="184">
        <v>0.1</v>
      </c>
      <c r="E7" s="185"/>
      <c r="F7" s="186">
        <v>0.15</v>
      </c>
      <c r="G7" s="186">
        <v>0.25</v>
      </c>
      <c r="H7" s="186">
        <v>0.3</v>
      </c>
      <c r="I7" s="186">
        <v>0.2</v>
      </c>
      <c r="J7" s="163"/>
      <c r="K7" s="197" t="s">
        <v>114</v>
      </c>
      <c r="L7" s="161">
        <v>100</v>
      </c>
      <c r="M7" s="161"/>
      <c r="N7" s="161">
        <f>SUM(N5:N6)</f>
        <v>30583.8</v>
      </c>
      <c r="O7" s="161">
        <f>O5</f>
        <v>700</v>
      </c>
      <c r="P7" s="161"/>
      <c r="Q7" s="161">
        <f>SUM(Q5:Q6)</f>
        <v>39523.68</v>
      </c>
      <c r="R7" s="161">
        <f>R5</f>
        <v>2100</v>
      </c>
      <c r="S7" s="161"/>
      <c r="T7" s="161">
        <f>SUM(T5:T6)</f>
        <v>7410.69</v>
      </c>
      <c r="U7" s="199"/>
      <c r="V7" s="181" t="s">
        <v>373</v>
      </c>
      <c r="W7" s="201">
        <v>1400</v>
      </c>
      <c r="X7" s="201">
        <v>3.37</v>
      </c>
      <c r="Y7" s="201">
        <f>W7*X7</f>
        <v>4718</v>
      </c>
      <c r="Z7" s="197"/>
      <c r="AA7" s="201">
        <v>2100</v>
      </c>
      <c r="AB7" s="201">
        <v>3.37</v>
      </c>
      <c r="AC7" s="201">
        <f>AA7*AB7</f>
        <v>7077</v>
      </c>
      <c r="AD7" s="163"/>
    </row>
    <row r="8" spans="1:38" ht="34" x14ac:dyDescent="0.2">
      <c r="A8" s="149"/>
      <c r="B8" s="162"/>
      <c r="C8" s="181" t="s">
        <v>354</v>
      </c>
      <c r="D8" s="144" t="s">
        <v>358</v>
      </c>
      <c r="E8" s="144" t="s">
        <v>359</v>
      </c>
      <c r="F8" s="161"/>
      <c r="G8" s="161"/>
      <c r="H8" s="161"/>
      <c r="I8" s="161"/>
      <c r="J8" s="163"/>
      <c r="N8" s="158"/>
      <c r="V8" s="181" t="s">
        <v>408</v>
      </c>
      <c r="W8" s="202">
        <v>100</v>
      </c>
      <c r="X8" s="202">
        <v>35</v>
      </c>
      <c r="Y8" s="202">
        <f>W8*X8</f>
        <v>3500</v>
      </c>
      <c r="Z8" s="197"/>
      <c r="AA8" s="202">
        <v>100</v>
      </c>
      <c r="AB8" s="202">
        <v>35</v>
      </c>
      <c r="AC8" s="202">
        <f>AA8*AB8</f>
        <v>3500</v>
      </c>
      <c r="AD8" s="163"/>
      <c r="AE8" s="159"/>
      <c r="AF8" s="159"/>
      <c r="AG8" s="159"/>
      <c r="AH8" s="159"/>
      <c r="AI8" s="159"/>
      <c r="AJ8" s="159"/>
    </row>
    <row r="9" spans="1:38" ht="36" customHeight="1" x14ac:dyDescent="0.2">
      <c r="B9" s="158"/>
      <c r="C9" s="181" t="s">
        <v>355</v>
      </c>
      <c r="D9" s="185"/>
      <c r="E9" s="185"/>
      <c r="F9" s="187" t="s">
        <v>360</v>
      </c>
      <c r="G9" s="187" t="s">
        <v>361</v>
      </c>
      <c r="H9" s="187" t="s">
        <v>361</v>
      </c>
      <c r="I9" s="187" t="s">
        <v>362</v>
      </c>
      <c r="J9" s="163"/>
      <c r="K9" s="160"/>
      <c r="L9" s="160"/>
      <c r="M9" s="160"/>
      <c r="N9" s="198"/>
      <c r="V9" s="181" t="s">
        <v>409</v>
      </c>
      <c r="W9" s="201">
        <v>200</v>
      </c>
      <c r="X9" s="201">
        <v>20</v>
      </c>
      <c r="Y9" s="201">
        <f>W9*X9</f>
        <v>4000</v>
      </c>
      <c r="Z9" s="197"/>
      <c r="AA9" s="201">
        <v>200</v>
      </c>
      <c r="AB9" s="201">
        <v>20</v>
      </c>
      <c r="AC9" s="201">
        <f>AA9*AB9</f>
        <v>4000</v>
      </c>
      <c r="AD9" s="211"/>
      <c r="AE9" s="180" t="s">
        <v>382</v>
      </c>
      <c r="AF9" s="180" t="s">
        <v>374</v>
      </c>
      <c r="AG9" s="207"/>
      <c r="AH9" s="193" t="s">
        <v>393</v>
      </c>
      <c r="AI9" s="193" t="s">
        <v>395</v>
      </c>
      <c r="AJ9" s="193" t="s">
        <v>394</v>
      </c>
      <c r="AK9" s="163"/>
    </row>
    <row r="10" spans="1:38" ht="17" x14ac:dyDescent="0.2">
      <c r="B10" s="158"/>
      <c r="C10" s="181" t="s">
        <v>356</v>
      </c>
      <c r="D10" s="161"/>
      <c r="E10" s="161"/>
      <c r="F10" s="161"/>
      <c r="G10" s="161"/>
      <c r="H10" s="161"/>
      <c r="I10" s="161"/>
      <c r="J10" s="163"/>
      <c r="N10" s="158"/>
      <c r="V10" s="181" t="s">
        <v>416</v>
      </c>
      <c r="W10" s="202">
        <f>110*W6</f>
        <v>44</v>
      </c>
      <c r="X10" s="228">
        <f>G23</f>
        <v>252.47272727272727</v>
      </c>
      <c r="Y10" s="228">
        <f>+W10*X10</f>
        <v>11108.8</v>
      </c>
      <c r="Z10" s="197"/>
      <c r="AA10" s="202">
        <f>110*AA6</f>
        <v>66</v>
      </c>
      <c r="AB10" s="228">
        <f>G23</f>
        <v>252.47272727272727</v>
      </c>
      <c r="AC10" s="228">
        <f>+AA10*AB10</f>
        <v>16663.2</v>
      </c>
      <c r="AD10" s="211"/>
      <c r="AE10" s="197" t="s">
        <v>387</v>
      </c>
      <c r="AF10" s="182" t="s">
        <v>387</v>
      </c>
      <c r="AG10" s="182" t="s">
        <v>388</v>
      </c>
      <c r="AH10" s="182"/>
      <c r="AI10" s="182"/>
      <c r="AJ10" s="195"/>
      <c r="AK10" s="163"/>
    </row>
    <row r="11" spans="1:38" ht="17" x14ac:dyDescent="0.2">
      <c r="B11" s="158"/>
      <c r="C11" s="181" t="s">
        <v>357</v>
      </c>
      <c r="D11" s="185"/>
      <c r="E11" s="185"/>
      <c r="F11" s="185"/>
      <c r="G11" s="185"/>
      <c r="H11" s="185"/>
      <c r="I11" s="185"/>
      <c r="J11" s="163"/>
      <c r="N11" s="158"/>
      <c r="V11" s="181" t="s">
        <v>417</v>
      </c>
      <c r="W11" s="201">
        <f>110*W6</f>
        <v>44</v>
      </c>
      <c r="X11" s="230">
        <f>+H23</f>
        <v>248.8909090909091</v>
      </c>
      <c r="Y11" s="230">
        <f>+W11*X11</f>
        <v>10951.2</v>
      </c>
      <c r="Z11" s="197"/>
      <c r="AA11" s="201">
        <f>+AA10</f>
        <v>66</v>
      </c>
      <c r="AB11" s="230">
        <f>+H23</f>
        <v>248.8909090909091</v>
      </c>
      <c r="AC11" s="230">
        <f>+AA11*AB11</f>
        <v>16426.8</v>
      </c>
      <c r="AD11" s="211"/>
      <c r="AE11" s="181" t="s">
        <v>389</v>
      </c>
      <c r="AF11" s="214">
        <v>210</v>
      </c>
      <c r="AG11" s="215">
        <v>66200</v>
      </c>
      <c r="AH11" s="215">
        <v>1950</v>
      </c>
      <c r="AI11" s="215">
        <v>1860</v>
      </c>
      <c r="AJ11" s="214">
        <v>300</v>
      </c>
      <c r="AK11" s="163"/>
    </row>
    <row r="12" spans="1:38" ht="17" x14ac:dyDescent="0.2">
      <c r="C12" s="160"/>
      <c r="D12" s="160"/>
      <c r="E12" s="280"/>
      <c r="F12" s="280"/>
      <c r="G12" s="280"/>
      <c r="H12" s="280"/>
      <c r="I12" s="280"/>
      <c r="J12" s="277"/>
      <c r="K12" s="277"/>
      <c r="L12" s="142"/>
      <c r="N12" s="158"/>
      <c r="V12" s="181" t="s">
        <v>381</v>
      </c>
      <c r="W12" s="202">
        <v>1400</v>
      </c>
      <c r="X12" s="231">
        <f ca="1">+Y12/W12</f>
        <v>46.632257142857142</v>
      </c>
      <c r="Y12" s="232">
        <f ca="1">SUM(Y5:Y12)</f>
        <v>65285.16</v>
      </c>
      <c r="Z12" s="197"/>
      <c r="AA12" s="202">
        <v>2100</v>
      </c>
      <c r="AB12" s="231">
        <f>+AC12/AA12</f>
        <v>44.846542857142857</v>
      </c>
      <c r="AC12" s="232">
        <f>SUM(AC5:AC11)</f>
        <v>94177.74</v>
      </c>
      <c r="AD12" s="211"/>
      <c r="AE12" s="181" t="s">
        <v>390</v>
      </c>
      <c r="AF12" s="214">
        <v>300</v>
      </c>
      <c r="AG12" s="215">
        <v>129030</v>
      </c>
      <c r="AH12" s="215">
        <v>3000</v>
      </c>
      <c r="AI12" s="215">
        <v>2800</v>
      </c>
      <c r="AJ12" s="214">
        <v>500</v>
      </c>
      <c r="AK12" s="163"/>
    </row>
    <row r="13" spans="1:38" x14ac:dyDescent="0.2">
      <c r="C13" s="159"/>
      <c r="D13" s="277"/>
      <c r="E13" s="277" t="s">
        <v>363</v>
      </c>
      <c r="F13" s="277"/>
      <c r="G13" s="277"/>
      <c r="H13" s="277"/>
      <c r="I13" s="277"/>
      <c r="J13" s="277"/>
      <c r="K13" s="142"/>
      <c r="L13" s="142"/>
      <c r="M13" s="142"/>
      <c r="N13" s="155"/>
      <c r="AD13" s="211"/>
      <c r="AE13" s="159"/>
      <c r="AF13" s="159"/>
      <c r="AG13" s="159"/>
      <c r="AK13" s="163"/>
    </row>
    <row r="14" spans="1:38" ht="17" x14ac:dyDescent="0.2">
      <c r="B14" s="158"/>
      <c r="C14" s="159"/>
      <c r="D14" s="281"/>
      <c r="E14" s="157"/>
      <c r="F14" s="157"/>
      <c r="G14" s="157"/>
      <c r="H14" s="157"/>
      <c r="I14" s="157"/>
      <c r="J14" s="142"/>
      <c r="K14" s="157"/>
      <c r="L14" s="157"/>
      <c r="M14" s="157"/>
      <c r="N14" s="157"/>
      <c r="O14" s="200"/>
      <c r="P14" s="200"/>
      <c r="Q14" s="200"/>
      <c r="R14" s="200"/>
      <c r="S14" s="154"/>
      <c r="T14" s="154"/>
      <c r="U14" s="154"/>
      <c r="V14" s="154"/>
      <c r="W14" s="154"/>
      <c r="X14" s="160"/>
      <c r="Y14" s="160"/>
      <c r="Z14" s="160"/>
      <c r="AA14" s="160"/>
      <c r="AB14" s="160"/>
      <c r="AC14" s="160"/>
      <c r="AD14" s="158"/>
      <c r="AE14" s="181" t="s">
        <v>396</v>
      </c>
      <c r="AF14" s="181" t="s">
        <v>397</v>
      </c>
      <c r="AG14" s="181" t="s">
        <v>398</v>
      </c>
      <c r="AH14" s="216"/>
      <c r="AI14" s="160"/>
      <c r="AJ14" s="160"/>
    </row>
    <row r="15" spans="1:38" ht="17" x14ac:dyDescent="0.2">
      <c r="B15" s="158"/>
      <c r="C15" s="276" t="s">
        <v>33</v>
      </c>
      <c r="D15" s="276" t="s">
        <v>349</v>
      </c>
      <c r="E15" s="276"/>
      <c r="F15" s="276" t="s">
        <v>350</v>
      </c>
      <c r="G15" s="276"/>
      <c r="H15" s="276"/>
      <c r="I15" s="276"/>
      <c r="J15" s="156"/>
      <c r="K15" s="193" t="s">
        <v>368</v>
      </c>
      <c r="L15" s="195" t="s">
        <v>370</v>
      </c>
      <c r="M15" s="195" t="s">
        <v>371</v>
      </c>
      <c r="N15" s="195" t="s">
        <v>372</v>
      </c>
      <c r="O15" s="194"/>
      <c r="P15" s="195" t="s">
        <v>370</v>
      </c>
      <c r="Q15" s="195" t="s">
        <v>371</v>
      </c>
      <c r="R15" s="195" t="s">
        <v>372</v>
      </c>
      <c r="S15" s="156"/>
      <c r="T15" s="142"/>
      <c r="U15" s="142"/>
      <c r="V15" s="157"/>
      <c r="W15" s="157"/>
      <c r="X15" s="159"/>
      <c r="Y15" s="159"/>
      <c r="Z15" s="159"/>
      <c r="AA15" s="159"/>
      <c r="AB15" s="159"/>
      <c r="AC15" s="159"/>
      <c r="AD15" s="158"/>
      <c r="AE15" s="181" t="s">
        <v>389</v>
      </c>
      <c r="AF15" s="212" t="s">
        <v>399</v>
      </c>
      <c r="AG15" s="212" t="s">
        <v>400</v>
      </c>
      <c r="AH15" s="163"/>
    </row>
    <row r="16" spans="1:38" ht="18" customHeight="1" x14ac:dyDescent="0.2">
      <c r="B16" s="158"/>
      <c r="C16" s="276"/>
      <c r="D16" s="182" t="s">
        <v>343</v>
      </c>
      <c r="E16" s="182" t="s">
        <v>344</v>
      </c>
      <c r="F16" s="182" t="s">
        <v>345</v>
      </c>
      <c r="G16" s="182" t="s">
        <v>346</v>
      </c>
      <c r="H16" s="182" t="s">
        <v>347</v>
      </c>
      <c r="I16" s="182" t="s">
        <v>348</v>
      </c>
      <c r="J16" s="156"/>
      <c r="K16" s="193" t="s">
        <v>374</v>
      </c>
      <c r="L16" s="191">
        <v>30</v>
      </c>
      <c r="M16" s="191">
        <v>300</v>
      </c>
      <c r="N16" s="191">
        <f>L16*M16</f>
        <v>9000</v>
      </c>
      <c r="O16" s="181" t="s">
        <v>340</v>
      </c>
      <c r="P16" s="191">
        <v>110</v>
      </c>
      <c r="Q16" s="206">
        <f>M18</f>
        <v>304.49076923076927</v>
      </c>
      <c r="R16" s="206">
        <v>33493.9</v>
      </c>
      <c r="S16" s="156"/>
      <c r="T16" s="142"/>
      <c r="U16" s="142"/>
      <c r="AD16" s="211"/>
      <c r="AE16" s="181" t="s">
        <v>390</v>
      </c>
      <c r="AF16" s="218" t="s">
        <v>401</v>
      </c>
      <c r="AG16" s="218" t="s">
        <v>402</v>
      </c>
      <c r="AH16" s="163"/>
    </row>
    <row r="17" spans="2:34" ht="34" x14ac:dyDescent="0.2">
      <c r="B17" s="158"/>
      <c r="C17" s="181" t="s">
        <v>351</v>
      </c>
      <c r="D17" s="183">
        <v>18000</v>
      </c>
      <c r="E17" s="183">
        <v>30000</v>
      </c>
      <c r="F17" s="183">
        <v>1500</v>
      </c>
      <c r="G17" s="183">
        <v>15500</v>
      </c>
      <c r="H17" s="183">
        <v>13500</v>
      </c>
      <c r="I17" s="183">
        <v>5000</v>
      </c>
      <c r="J17" s="156"/>
      <c r="K17" s="193" t="s">
        <v>375</v>
      </c>
      <c r="L17" s="196">
        <v>100</v>
      </c>
      <c r="M17" s="196" t="s">
        <v>367</v>
      </c>
      <c r="N17" s="196">
        <v>30583.8</v>
      </c>
      <c r="O17" s="181" t="s">
        <v>376</v>
      </c>
      <c r="P17" s="196">
        <v>20</v>
      </c>
      <c r="Q17" s="196">
        <v>304.49</v>
      </c>
      <c r="R17" s="196">
        <f>P17*Q17</f>
        <v>6089.8</v>
      </c>
      <c r="S17" s="156"/>
      <c r="T17" s="142"/>
      <c r="U17" s="142"/>
      <c r="AD17" s="211"/>
      <c r="AE17" s="181" t="s">
        <v>403</v>
      </c>
      <c r="AF17" s="217">
        <v>21</v>
      </c>
      <c r="AG17" s="217">
        <v>25</v>
      </c>
      <c r="AH17" s="163"/>
    </row>
    <row r="18" spans="2:34" ht="34" x14ac:dyDescent="0.2">
      <c r="B18" s="158"/>
      <c r="C18" s="181" t="s">
        <v>352</v>
      </c>
      <c r="D18" s="161"/>
      <c r="E18" s="168">
        <f>D20*10%</f>
        <v>2121.2000000000003</v>
      </c>
      <c r="F18" s="161">
        <f>D20*25%</f>
        <v>5303</v>
      </c>
      <c r="G18" s="166">
        <f>D20*20%</f>
        <v>4242.4000000000005</v>
      </c>
      <c r="H18" s="166">
        <f>D20*20%</f>
        <v>4242.4000000000005</v>
      </c>
      <c r="I18" s="161">
        <f>D20*25%</f>
        <v>5303</v>
      </c>
      <c r="J18" s="156"/>
      <c r="K18" s="193" t="s">
        <v>16</v>
      </c>
      <c r="L18" s="191">
        <f>SUM(L16:L17)</f>
        <v>130</v>
      </c>
      <c r="M18" s="206">
        <f>N18/L18</f>
        <v>304.49076923076927</v>
      </c>
      <c r="N18" s="191">
        <f>SUM(N16:N17)</f>
        <v>39583.800000000003</v>
      </c>
      <c r="O18" s="181" t="s">
        <v>16</v>
      </c>
      <c r="P18" s="270" t="s">
        <v>367</v>
      </c>
      <c r="Q18" s="271"/>
      <c r="R18" s="272"/>
      <c r="S18" s="156"/>
      <c r="T18" s="142"/>
      <c r="U18" s="142"/>
      <c r="AD18" s="163"/>
      <c r="AE18" s="160"/>
      <c r="AF18" s="160"/>
      <c r="AG18" s="160"/>
    </row>
    <row r="19" spans="2:34" ht="17" x14ac:dyDescent="0.2">
      <c r="B19" s="158"/>
      <c r="C19" s="181" t="s">
        <v>353</v>
      </c>
      <c r="D19" s="188">
        <f>E20*10%</f>
        <v>3212.1000000000004</v>
      </c>
      <c r="E19" s="185"/>
      <c r="F19" s="188">
        <f>E20*15%</f>
        <v>4818.1499999999996</v>
      </c>
      <c r="G19" s="188">
        <f>E20*25%</f>
        <v>8030.25</v>
      </c>
      <c r="H19" s="188">
        <f>E20*30%</f>
        <v>9636.2999999999993</v>
      </c>
      <c r="I19" s="188">
        <f>E20*20%</f>
        <v>6424.2000000000007</v>
      </c>
      <c r="J19" s="156"/>
      <c r="K19" s="193" t="s">
        <v>369</v>
      </c>
      <c r="L19" s="195" t="s">
        <v>370</v>
      </c>
      <c r="M19" s="195" t="s">
        <v>371</v>
      </c>
      <c r="N19" s="195" t="s">
        <v>372</v>
      </c>
      <c r="O19" s="194"/>
      <c r="P19" s="195" t="s">
        <v>370</v>
      </c>
      <c r="Q19" s="195" t="s">
        <v>371</v>
      </c>
      <c r="R19" s="195" t="s">
        <v>372</v>
      </c>
      <c r="S19" s="156"/>
      <c r="T19" s="142"/>
      <c r="U19" s="142"/>
      <c r="AD19" s="163"/>
    </row>
    <row r="20" spans="2:34" ht="34" x14ac:dyDescent="0.2">
      <c r="B20" s="158"/>
      <c r="C20" s="181" t="s">
        <v>354</v>
      </c>
      <c r="D20" s="144">
        <v>21212</v>
      </c>
      <c r="E20" s="144">
        <v>32121</v>
      </c>
      <c r="F20" s="166">
        <f>SUM(F17:F19)</f>
        <v>11621.15</v>
      </c>
      <c r="G20" s="166">
        <v>27772</v>
      </c>
      <c r="H20" s="166">
        <v>27378</v>
      </c>
      <c r="I20" s="166">
        <f t="shared" ref="I20" si="0">SUM(I17:I19)</f>
        <v>16727.2</v>
      </c>
      <c r="J20" s="156"/>
      <c r="K20" s="193" t="s">
        <v>374</v>
      </c>
      <c r="L20" s="191">
        <v>200</v>
      </c>
      <c r="M20" s="191">
        <v>50</v>
      </c>
      <c r="N20" s="191">
        <f>L20*M20</f>
        <v>10000</v>
      </c>
      <c r="O20" s="181" t="s">
        <v>340</v>
      </c>
      <c r="P20" s="191">
        <v>800</v>
      </c>
      <c r="Q20" s="191">
        <v>55.03</v>
      </c>
      <c r="R20" s="191">
        <f>P20*Q20</f>
        <v>44024</v>
      </c>
      <c r="S20" s="156"/>
      <c r="T20" s="142"/>
      <c r="U20" s="142"/>
      <c r="V20" s="154"/>
      <c r="W20" s="154"/>
      <c r="X20" s="160"/>
      <c r="Y20" s="160"/>
      <c r="Z20" s="160"/>
      <c r="AA20" s="160"/>
      <c r="AB20" s="160"/>
      <c r="AC20" s="160"/>
    </row>
    <row r="21" spans="2:34" ht="34" x14ac:dyDescent="0.2">
      <c r="B21" s="158"/>
      <c r="C21" s="181" t="s">
        <v>355</v>
      </c>
      <c r="D21" s="185"/>
      <c r="E21" s="185"/>
      <c r="F21" s="187" t="s">
        <v>364</v>
      </c>
      <c r="G21" s="187" t="s">
        <v>361</v>
      </c>
      <c r="H21" s="187" t="s">
        <v>361</v>
      </c>
      <c r="I21" s="187" t="s">
        <v>362</v>
      </c>
      <c r="J21" s="156"/>
      <c r="K21" s="193" t="s">
        <v>375</v>
      </c>
      <c r="L21" s="196">
        <v>700</v>
      </c>
      <c r="M21" s="196" t="s">
        <v>367</v>
      </c>
      <c r="N21" s="196">
        <f>Q7</f>
        <v>39523.68</v>
      </c>
      <c r="O21" s="181" t="s">
        <v>376</v>
      </c>
      <c r="P21" s="196">
        <v>100</v>
      </c>
      <c r="Q21" s="196">
        <v>55.03</v>
      </c>
      <c r="R21" s="196">
        <f>+P21*Q21</f>
        <v>5503</v>
      </c>
      <c r="S21" s="156"/>
      <c r="T21" s="142"/>
      <c r="U21" s="142"/>
      <c r="V21" s="157"/>
      <c r="W21" s="157"/>
      <c r="X21" s="159"/>
      <c r="Y21" s="159"/>
      <c r="Z21" s="159"/>
      <c r="AA21" s="159"/>
      <c r="AB21" s="159"/>
      <c r="AC21" s="159"/>
    </row>
    <row r="22" spans="2:34" ht="17" x14ac:dyDescent="0.2">
      <c r="B22" s="158"/>
      <c r="C22" s="181" t="s">
        <v>356</v>
      </c>
      <c r="D22" s="161"/>
      <c r="E22" s="161"/>
      <c r="F22" s="169">
        <v>65900</v>
      </c>
      <c r="G22" s="170">
        <v>110</v>
      </c>
      <c r="H22" s="170">
        <v>110</v>
      </c>
      <c r="I22" s="171">
        <v>3500</v>
      </c>
      <c r="J22" s="156"/>
      <c r="K22" s="193" t="s">
        <v>16</v>
      </c>
      <c r="L22" s="191">
        <f>SUM(L20:L21)</f>
        <v>900</v>
      </c>
      <c r="M22" s="206">
        <f>N22/L22</f>
        <v>55.026311111111113</v>
      </c>
      <c r="N22" s="191">
        <f>SUM(N20:N21)</f>
        <v>49523.68</v>
      </c>
      <c r="O22" s="181" t="s">
        <v>16</v>
      </c>
      <c r="P22" s="270" t="s">
        <v>367</v>
      </c>
      <c r="Q22" s="271"/>
      <c r="R22" s="272"/>
      <c r="S22" s="156"/>
      <c r="T22" s="142"/>
      <c r="U22" s="142"/>
      <c r="V22" s="181" t="s">
        <v>379</v>
      </c>
      <c r="W22" s="195" t="s">
        <v>370</v>
      </c>
      <c r="X22" s="195" t="s">
        <v>371</v>
      </c>
      <c r="Y22" s="195" t="s">
        <v>372</v>
      </c>
      <c r="Z22" s="195" t="s">
        <v>367</v>
      </c>
      <c r="AA22" s="195" t="s">
        <v>370</v>
      </c>
      <c r="AB22" s="195" t="s">
        <v>371</v>
      </c>
      <c r="AC22" s="195" t="s">
        <v>372</v>
      </c>
      <c r="AD22" s="163"/>
    </row>
    <row r="23" spans="2:34" ht="17" x14ac:dyDescent="0.2">
      <c r="B23" s="158"/>
      <c r="C23" s="181" t="s">
        <v>357</v>
      </c>
      <c r="D23" s="185"/>
      <c r="E23" s="185"/>
      <c r="F23" s="189">
        <f>F20/(F22/100)</f>
        <v>17.634522003034903</v>
      </c>
      <c r="G23" s="189">
        <f>G20/G22</f>
        <v>252.47272727272727</v>
      </c>
      <c r="H23" s="189">
        <f>H20/H22</f>
        <v>248.8909090909091</v>
      </c>
      <c r="I23" s="189">
        <f>I20/I22</f>
        <v>4.7792000000000003</v>
      </c>
      <c r="J23" s="156"/>
      <c r="K23" s="193" t="s">
        <v>373</v>
      </c>
      <c r="L23" s="195" t="s">
        <v>370</v>
      </c>
      <c r="M23" s="195" t="s">
        <v>371</v>
      </c>
      <c r="N23" s="195" t="s">
        <v>372</v>
      </c>
      <c r="O23" s="194"/>
      <c r="P23" s="195" t="s">
        <v>370</v>
      </c>
      <c r="Q23" s="195" t="s">
        <v>371</v>
      </c>
      <c r="R23" s="195" t="s">
        <v>372</v>
      </c>
      <c r="S23" s="156"/>
      <c r="T23" s="142"/>
      <c r="U23" s="142"/>
      <c r="V23" s="181" t="s">
        <v>374</v>
      </c>
      <c r="W23" s="191">
        <v>2200</v>
      </c>
      <c r="X23" s="191">
        <v>66</v>
      </c>
      <c r="Y23" s="235">
        <f>W23*X23</f>
        <v>145200</v>
      </c>
      <c r="Z23" s="181" t="s">
        <v>340</v>
      </c>
      <c r="AA23" s="191">
        <v>2500</v>
      </c>
      <c r="AB23" s="191">
        <v>58.47</v>
      </c>
      <c r="AC23" s="235">
        <f>AA23*AB23</f>
        <v>146175</v>
      </c>
      <c r="AD23" s="163"/>
    </row>
    <row r="24" spans="2:34" ht="17" x14ac:dyDescent="0.2">
      <c r="B24" s="158"/>
      <c r="J24" s="156"/>
      <c r="K24" s="193" t="s">
        <v>374</v>
      </c>
      <c r="L24" s="191">
        <v>2000</v>
      </c>
      <c r="M24" s="191">
        <v>3.2</v>
      </c>
      <c r="N24" s="191">
        <f>+L24*M24</f>
        <v>6400</v>
      </c>
      <c r="O24" s="181" t="s">
        <v>340</v>
      </c>
      <c r="P24" s="191">
        <v>3500</v>
      </c>
      <c r="Q24" s="191">
        <v>3.37</v>
      </c>
      <c r="R24" s="191">
        <f>+P24*Q24</f>
        <v>11795</v>
      </c>
      <c r="S24" s="156"/>
      <c r="T24" s="142"/>
      <c r="U24" s="142"/>
      <c r="V24" s="181" t="s">
        <v>375</v>
      </c>
      <c r="W24" s="196">
        <f>+W12</f>
        <v>1400</v>
      </c>
      <c r="X24" s="234">
        <v>46.63</v>
      </c>
      <c r="Y24" s="236">
        <f>W24*X24</f>
        <v>65282</v>
      </c>
      <c r="Z24" s="181" t="s">
        <v>376</v>
      </c>
      <c r="AA24" s="196" t="s">
        <v>367</v>
      </c>
      <c r="AB24" s="196" t="s">
        <v>367</v>
      </c>
      <c r="AC24" s="196" t="s">
        <v>367</v>
      </c>
      <c r="AD24" s="163"/>
    </row>
    <row r="25" spans="2:34" ht="17" x14ac:dyDescent="0.2">
      <c r="B25" s="158"/>
      <c r="J25" s="156"/>
      <c r="K25" s="193" t="s">
        <v>375</v>
      </c>
      <c r="L25" s="196">
        <v>2100</v>
      </c>
      <c r="M25" s="196" t="s">
        <v>367</v>
      </c>
      <c r="N25" s="196">
        <f>T7</f>
        <v>7410.69</v>
      </c>
      <c r="O25" s="181" t="s">
        <v>376</v>
      </c>
      <c r="P25" s="196">
        <v>700</v>
      </c>
      <c r="Q25" s="196">
        <v>3.37</v>
      </c>
      <c r="R25" s="196">
        <f>+P25*Q25</f>
        <v>2359</v>
      </c>
      <c r="S25" s="156"/>
      <c r="T25" s="142"/>
      <c r="U25" s="142"/>
      <c r="V25" s="181" t="s">
        <v>16</v>
      </c>
      <c r="W25" s="191">
        <f>SUM(W23:W24)</f>
        <v>3600</v>
      </c>
      <c r="X25" s="206">
        <f>Y25/W25</f>
        <v>58.467222222222219</v>
      </c>
      <c r="Y25" s="235">
        <f>SUM(Y23:Y24)</f>
        <v>210482</v>
      </c>
      <c r="Z25" s="181" t="s">
        <v>16</v>
      </c>
      <c r="AA25" s="191" t="s">
        <v>367</v>
      </c>
      <c r="AB25" s="191" t="s">
        <v>367</v>
      </c>
      <c r="AC25" s="192" t="s">
        <v>367</v>
      </c>
      <c r="AD25" s="163"/>
    </row>
    <row r="26" spans="2:34" ht="17" x14ac:dyDescent="0.2">
      <c r="C26" s="160"/>
      <c r="D26" s="279"/>
      <c r="E26" s="154"/>
      <c r="F26" s="154"/>
      <c r="G26" s="154"/>
      <c r="H26" s="154"/>
      <c r="I26" s="160"/>
      <c r="J26" s="142"/>
      <c r="K26" s="193" t="s">
        <v>16</v>
      </c>
      <c r="L26" s="191">
        <f>SUM(L24:L25)</f>
        <v>4100</v>
      </c>
      <c r="M26" s="206">
        <f>+N26/L26</f>
        <v>3.3684609756097559</v>
      </c>
      <c r="N26" s="191">
        <f>SUM(N24:N25)</f>
        <v>13810.689999999999</v>
      </c>
      <c r="O26" s="181" t="s">
        <v>16</v>
      </c>
      <c r="P26" s="270" t="s">
        <v>367</v>
      </c>
      <c r="Q26" s="271"/>
      <c r="R26" s="272"/>
      <c r="S26" s="156"/>
      <c r="T26" s="142"/>
      <c r="U26" s="142"/>
      <c r="AD26" s="163"/>
    </row>
    <row r="27" spans="2:34" x14ac:dyDescent="0.2">
      <c r="D27" s="278"/>
      <c r="E27" s="142"/>
      <c r="F27" s="142"/>
      <c r="G27" s="142"/>
      <c r="H27" s="142"/>
      <c r="I27" s="142"/>
      <c r="J27" s="142"/>
      <c r="K27" s="154"/>
      <c r="L27" s="154"/>
      <c r="M27" s="154"/>
      <c r="N27" s="154"/>
      <c r="O27" s="154"/>
      <c r="P27" s="154"/>
      <c r="Q27" s="154"/>
      <c r="R27" s="154"/>
      <c r="S27" s="142"/>
      <c r="T27" s="142"/>
      <c r="U27" s="142"/>
      <c r="V27" s="154"/>
      <c r="W27" s="154"/>
      <c r="X27" s="154"/>
      <c r="Y27" s="160"/>
      <c r="Z27" s="160"/>
      <c r="AA27" s="160"/>
      <c r="AB27" s="160"/>
      <c r="AC27" s="160"/>
    </row>
    <row r="28" spans="2:34" ht="17" x14ac:dyDescent="0.2">
      <c r="D28" s="278"/>
      <c r="E28" s="142"/>
      <c r="F28" s="142"/>
      <c r="G28" s="142"/>
      <c r="H28" s="142"/>
      <c r="I28" s="142"/>
      <c r="J28" s="142"/>
      <c r="S28" s="142"/>
      <c r="T28" s="142"/>
      <c r="U28" s="142"/>
      <c r="V28" s="181" t="s">
        <v>418</v>
      </c>
      <c r="W28" s="195" t="s">
        <v>370</v>
      </c>
      <c r="X28" s="195" t="s">
        <v>371</v>
      </c>
      <c r="Y28" s="195" t="s">
        <v>372</v>
      </c>
      <c r="Z28" s="195" t="s">
        <v>367</v>
      </c>
      <c r="AA28" s="195" t="s">
        <v>370</v>
      </c>
      <c r="AB28" s="195" t="s">
        <v>371</v>
      </c>
      <c r="AC28" s="195" t="s">
        <v>372</v>
      </c>
    </row>
    <row r="29" spans="2:34" ht="17" x14ac:dyDescent="0.2">
      <c r="E29" s="142"/>
      <c r="F29" s="142"/>
      <c r="G29" s="142"/>
      <c r="H29" s="142"/>
      <c r="I29" s="142"/>
      <c r="J29" s="142"/>
      <c r="T29" s="142"/>
      <c r="U29" s="142"/>
      <c r="V29" s="181" t="s">
        <v>374</v>
      </c>
      <c r="W29" s="191">
        <v>2800</v>
      </c>
      <c r="X29" s="191">
        <v>64</v>
      </c>
      <c r="Y29" s="235">
        <f>+W29*X29</f>
        <v>179200</v>
      </c>
      <c r="Z29" s="181" t="s">
        <v>340</v>
      </c>
      <c r="AA29" s="191">
        <v>3600</v>
      </c>
      <c r="AB29" s="191">
        <v>55.79</v>
      </c>
      <c r="AC29" s="235">
        <f>AA29*AB29</f>
        <v>200844</v>
      </c>
    </row>
    <row r="30" spans="2:34" ht="17" x14ac:dyDescent="0.2">
      <c r="E30" s="142"/>
      <c r="F30" s="142"/>
      <c r="G30" s="142"/>
      <c r="H30" s="142"/>
      <c r="I30" s="142"/>
      <c r="J30" s="142"/>
      <c r="V30" s="181" t="s">
        <v>375</v>
      </c>
      <c r="W30" s="196">
        <f>AA12</f>
        <v>2100</v>
      </c>
      <c r="X30" s="234">
        <v>44.85</v>
      </c>
      <c r="Y30" s="236">
        <v>94178</v>
      </c>
      <c r="Z30" s="181" t="s">
        <v>376</v>
      </c>
      <c r="AA30" s="196" t="s">
        <v>367</v>
      </c>
      <c r="AB30" s="196" t="s">
        <v>367</v>
      </c>
      <c r="AC30" s="196" t="s">
        <v>367</v>
      </c>
    </row>
    <row r="31" spans="2:34" ht="17" x14ac:dyDescent="0.2">
      <c r="E31" s="142"/>
      <c r="F31" s="142"/>
      <c r="G31" s="142"/>
      <c r="H31" s="142"/>
      <c r="I31" s="142"/>
      <c r="J31" s="142"/>
      <c r="S31" s="142"/>
      <c r="T31" s="142"/>
      <c r="U31" s="142"/>
      <c r="V31" s="181" t="s">
        <v>16</v>
      </c>
      <c r="W31" s="191">
        <f>SUM(W29:W30)</f>
        <v>4900</v>
      </c>
      <c r="X31" s="206">
        <f>Y31/W31</f>
        <v>55.791428571428568</v>
      </c>
      <c r="Y31" s="235">
        <f>SUM(Y29:Y30)</f>
        <v>273378</v>
      </c>
      <c r="Z31" s="181" t="s">
        <v>16</v>
      </c>
      <c r="AA31" s="191" t="s">
        <v>367</v>
      </c>
      <c r="AB31" s="191" t="s">
        <v>367</v>
      </c>
      <c r="AC31" s="192" t="s">
        <v>367</v>
      </c>
    </row>
    <row r="32" spans="2:34" x14ac:dyDescent="0.2">
      <c r="D32" s="277"/>
      <c r="E32" s="142"/>
      <c r="F32" s="142"/>
      <c r="G32" s="142"/>
      <c r="H32" s="142"/>
      <c r="I32" s="142"/>
      <c r="J32" s="142"/>
      <c r="S32" s="142"/>
      <c r="T32" s="142"/>
      <c r="U32" s="142"/>
      <c r="V32" s="142"/>
    </row>
    <row r="33" spans="4:22" x14ac:dyDescent="0.2">
      <c r="D33" s="277"/>
      <c r="E33" s="142"/>
      <c r="F33" s="142"/>
      <c r="G33" s="142"/>
      <c r="H33" s="142"/>
      <c r="I33" s="142"/>
      <c r="J33" s="142"/>
      <c r="S33" s="142"/>
      <c r="T33" s="142"/>
      <c r="U33" s="142"/>
      <c r="V33" s="142"/>
    </row>
    <row r="34" spans="4:22" x14ac:dyDescent="0.2">
      <c r="D34" s="142"/>
      <c r="E34" s="142"/>
      <c r="F34" s="142"/>
      <c r="G34" s="142"/>
      <c r="H34" s="142"/>
      <c r="I34" s="142"/>
      <c r="J34" s="142"/>
      <c r="S34" s="142"/>
      <c r="T34" s="142"/>
      <c r="U34" s="142"/>
      <c r="V34" s="142"/>
    </row>
    <row r="35" spans="4:22" x14ac:dyDescent="0.2">
      <c r="D35" s="152"/>
      <c r="E35" s="142"/>
      <c r="F35" s="142"/>
      <c r="G35" s="142"/>
      <c r="H35" s="142"/>
      <c r="I35" s="142"/>
      <c r="J35" s="142"/>
      <c r="S35" s="142"/>
      <c r="T35" s="142"/>
      <c r="U35" s="142"/>
      <c r="V35" s="142"/>
    </row>
    <row r="36" spans="4:22" x14ac:dyDescent="0.2">
      <c r="D36" s="152"/>
      <c r="E36" s="142"/>
      <c r="F36" s="142"/>
      <c r="G36" s="142"/>
      <c r="H36" s="142"/>
      <c r="I36" s="142"/>
      <c r="J36" s="142"/>
      <c r="S36" s="142"/>
      <c r="T36" s="142"/>
      <c r="U36" s="142"/>
      <c r="V36" s="142"/>
    </row>
    <row r="37" spans="4:22" x14ac:dyDescent="0.2">
      <c r="D37" s="152"/>
      <c r="E37" s="142"/>
      <c r="F37" s="142"/>
      <c r="G37" s="142"/>
      <c r="H37" s="142"/>
      <c r="I37" s="142"/>
      <c r="J37" s="142"/>
      <c r="S37" s="142"/>
      <c r="T37" s="142"/>
      <c r="U37" s="142"/>
      <c r="V37" s="142"/>
    </row>
    <row r="38" spans="4:22" x14ac:dyDescent="0.2">
      <c r="D38" s="152"/>
      <c r="E38" s="142"/>
      <c r="F38" s="142"/>
      <c r="G38" s="142"/>
      <c r="H38" s="142"/>
      <c r="I38" s="142"/>
      <c r="J38" s="142"/>
      <c r="S38" s="142"/>
      <c r="T38" s="142"/>
      <c r="U38" s="142"/>
      <c r="V38" s="142"/>
    </row>
    <row r="39" spans="4:22" x14ac:dyDescent="0.2">
      <c r="D39" s="152"/>
      <c r="E39" s="142"/>
      <c r="F39" s="142"/>
      <c r="G39" s="142"/>
      <c r="H39" s="142"/>
      <c r="I39" s="142"/>
      <c r="J39" s="142"/>
      <c r="S39" s="142"/>
      <c r="T39" s="142"/>
      <c r="U39" s="142"/>
      <c r="V39" s="142"/>
    </row>
    <row r="40" spans="4:22" x14ac:dyDescent="0.2">
      <c r="D40" s="278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277"/>
      <c r="S40" s="277"/>
      <c r="T40" s="277"/>
      <c r="U40" s="142"/>
      <c r="V40" s="142"/>
    </row>
    <row r="41" spans="4:22" x14ac:dyDescent="0.2">
      <c r="D41" s="278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53"/>
      <c r="Q41" s="142"/>
      <c r="R41" s="277"/>
      <c r="S41" s="277"/>
      <c r="T41" s="277"/>
      <c r="U41" s="142"/>
      <c r="V41" s="142"/>
    </row>
    <row r="42" spans="4:22" x14ac:dyDescent="0.2">
      <c r="D42" s="278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277"/>
      <c r="S42" s="277"/>
      <c r="T42" s="277"/>
      <c r="U42" s="142"/>
      <c r="V42" s="142"/>
    </row>
    <row r="43" spans="4:22" x14ac:dyDescent="0.2">
      <c r="E43" s="142"/>
      <c r="F43" s="142"/>
      <c r="G43" s="142"/>
      <c r="H43" s="142"/>
      <c r="I43" s="142"/>
      <c r="J43" s="142"/>
      <c r="K43" s="142"/>
      <c r="L43" s="142"/>
      <c r="M43" s="142"/>
      <c r="N43" s="142"/>
    </row>
    <row r="44" spans="4:22" x14ac:dyDescent="0.2">
      <c r="E44" s="142"/>
      <c r="F44" s="142"/>
      <c r="G44" s="142"/>
      <c r="H44" s="142"/>
      <c r="I44" s="142"/>
      <c r="J44" s="142"/>
      <c r="K44" s="142"/>
      <c r="L44" s="142"/>
      <c r="M44" s="142"/>
      <c r="N44" s="142"/>
    </row>
  </sheetData>
  <mergeCells count="24">
    <mergeCell ref="R40:T40"/>
    <mergeCell ref="R41:T41"/>
    <mergeCell ref="R42:T42"/>
    <mergeCell ref="D3:E3"/>
    <mergeCell ref="F3:I3"/>
    <mergeCell ref="D40:D42"/>
    <mergeCell ref="D32:D33"/>
    <mergeCell ref="D26:D28"/>
    <mergeCell ref="E12:K12"/>
    <mergeCell ref="D13:D14"/>
    <mergeCell ref="E13:G13"/>
    <mergeCell ref="H13:J13"/>
    <mergeCell ref="Z3:AC3"/>
    <mergeCell ref="C3:C4"/>
    <mergeCell ref="C15:C16"/>
    <mergeCell ref="D15:E15"/>
    <mergeCell ref="F15:I15"/>
    <mergeCell ref="P22:R22"/>
    <mergeCell ref="P26:R26"/>
    <mergeCell ref="W3:Y3"/>
    <mergeCell ref="P18:R18"/>
    <mergeCell ref="L3:N3"/>
    <mergeCell ref="O3:Q3"/>
    <mergeCell ref="R3:T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10247-9058-E448-8C4C-7DD8AD35D426}">
  <dimension ref="B3:S24"/>
  <sheetViews>
    <sheetView workbookViewId="0">
      <selection activeCell="J20" sqref="J20"/>
    </sheetView>
  </sheetViews>
  <sheetFormatPr baseColWidth="10" defaultRowHeight="16" x14ac:dyDescent="0.2"/>
  <cols>
    <col min="1" max="1" width="10.83203125" style="148"/>
    <col min="2" max="2" width="20.33203125" style="148" customWidth="1"/>
    <col min="3" max="3" width="17.33203125" style="148" bestFit="1" customWidth="1"/>
    <col min="4" max="4" width="18.1640625" style="148" bestFit="1" customWidth="1"/>
    <col min="5" max="5" width="12.5" style="148" customWidth="1"/>
    <col min="6" max="6" width="13.6640625" style="148" customWidth="1"/>
    <col min="7" max="7" width="14.33203125" style="148" customWidth="1"/>
    <col min="8" max="8" width="18.33203125" style="148" customWidth="1"/>
    <col min="9" max="16384" width="10.83203125" style="148"/>
  </cols>
  <sheetData>
    <row r="3" spans="2:19" x14ac:dyDescent="0.2">
      <c r="K3" s="223"/>
      <c r="L3" s="223"/>
      <c r="M3" s="223"/>
      <c r="N3" s="223"/>
      <c r="O3" s="223"/>
      <c r="P3" s="223"/>
      <c r="Q3" s="223"/>
    </row>
    <row r="4" spans="2:19" x14ac:dyDescent="0.2">
      <c r="B4" s="276" t="s">
        <v>33</v>
      </c>
      <c r="C4" s="273" t="s">
        <v>349</v>
      </c>
      <c r="D4" s="274"/>
      <c r="E4" s="275"/>
      <c r="F4" s="273" t="s">
        <v>350</v>
      </c>
      <c r="G4" s="274"/>
      <c r="H4" s="275"/>
      <c r="J4" s="221"/>
      <c r="K4" s="197"/>
      <c r="L4" s="282" t="s">
        <v>404</v>
      </c>
      <c r="M4" s="282"/>
      <c r="N4" s="282"/>
      <c r="O4" s="282" t="s">
        <v>392</v>
      </c>
      <c r="P4" s="282"/>
      <c r="Q4" s="282"/>
      <c r="R4" s="222"/>
    </row>
    <row r="5" spans="2:19" ht="17" x14ac:dyDescent="0.2">
      <c r="B5" s="276"/>
      <c r="C5" s="182" t="s">
        <v>343</v>
      </c>
      <c r="D5" s="182" t="s">
        <v>344</v>
      </c>
      <c r="E5" s="182" t="s">
        <v>345</v>
      </c>
      <c r="F5" s="182" t="s">
        <v>346</v>
      </c>
      <c r="G5" s="182" t="s">
        <v>347</v>
      </c>
      <c r="H5" s="182" t="s">
        <v>348</v>
      </c>
      <c r="J5" s="221"/>
      <c r="K5" s="197"/>
      <c r="L5" s="195" t="s">
        <v>370</v>
      </c>
      <c r="M5" s="195" t="s">
        <v>371</v>
      </c>
      <c r="N5" s="195" t="s">
        <v>372</v>
      </c>
      <c r="O5" s="195" t="s">
        <v>370</v>
      </c>
      <c r="P5" s="195" t="s">
        <v>371</v>
      </c>
      <c r="Q5" s="195" t="s">
        <v>372</v>
      </c>
      <c r="R5" s="222"/>
    </row>
    <row r="6" spans="2:19" ht="34" x14ac:dyDescent="0.2">
      <c r="B6" s="181" t="s">
        <v>351</v>
      </c>
      <c r="C6" s="183">
        <v>200000</v>
      </c>
      <c r="D6" s="183">
        <v>75000</v>
      </c>
      <c r="E6" s="183">
        <v>31000</v>
      </c>
      <c r="F6" s="183">
        <v>80000</v>
      </c>
      <c r="G6" s="183">
        <v>1440000</v>
      </c>
      <c r="H6" s="183">
        <v>150000</v>
      </c>
      <c r="J6" s="221"/>
      <c r="K6" s="181" t="s">
        <v>405</v>
      </c>
      <c r="L6" s="213"/>
      <c r="M6" s="213"/>
      <c r="N6" s="213"/>
      <c r="O6" s="213"/>
      <c r="P6" s="213"/>
      <c r="Q6" s="225"/>
      <c r="R6" s="222"/>
    </row>
    <row r="7" spans="2:19" ht="51" x14ac:dyDescent="0.2">
      <c r="B7" s="181" t="s">
        <v>352</v>
      </c>
      <c r="C7" s="161"/>
      <c r="D7" s="167">
        <v>0.1</v>
      </c>
      <c r="E7" s="165">
        <v>0.1</v>
      </c>
      <c r="F7" s="165">
        <v>0.25</v>
      </c>
      <c r="G7" s="165">
        <v>0.25</v>
      </c>
      <c r="H7" s="165">
        <v>0.3</v>
      </c>
      <c r="J7" s="221"/>
      <c r="K7" s="181" t="s">
        <v>406</v>
      </c>
      <c r="L7" s="226"/>
      <c r="M7" s="226"/>
      <c r="N7" s="226"/>
      <c r="O7" s="226"/>
      <c r="P7" s="226"/>
      <c r="Q7" s="227"/>
      <c r="R7" s="222"/>
    </row>
    <row r="8" spans="2:19" ht="34" x14ac:dyDescent="0.2">
      <c r="B8" s="181" t="s">
        <v>353</v>
      </c>
      <c r="C8" s="184">
        <v>0.05</v>
      </c>
      <c r="D8" s="185"/>
      <c r="E8" s="186">
        <v>0.05</v>
      </c>
      <c r="F8" s="186">
        <v>0.45</v>
      </c>
      <c r="G8" s="186">
        <v>0.35</v>
      </c>
      <c r="H8" s="186">
        <v>0.1</v>
      </c>
      <c r="J8" s="221"/>
      <c r="K8" s="181" t="s">
        <v>407</v>
      </c>
      <c r="L8" s="213"/>
      <c r="M8" s="213"/>
      <c r="N8" s="213"/>
      <c r="O8" s="213"/>
      <c r="P8" s="213"/>
      <c r="Q8" s="225"/>
      <c r="R8" s="222"/>
    </row>
    <row r="9" spans="2:19" ht="34" x14ac:dyDescent="0.2">
      <c r="B9" s="181" t="s">
        <v>354</v>
      </c>
      <c r="C9" s="144" t="s">
        <v>358</v>
      </c>
      <c r="D9" s="144" t="s">
        <v>359</v>
      </c>
      <c r="E9" s="161"/>
      <c r="F9" s="161"/>
      <c r="G9" s="161"/>
      <c r="H9" s="161"/>
      <c r="K9" s="229"/>
      <c r="L9" s="229"/>
      <c r="M9" s="229"/>
      <c r="N9" s="229"/>
      <c r="O9" s="229"/>
      <c r="P9" s="229"/>
      <c r="Q9" s="229"/>
      <c r="R9" s="223"/>
    </row>
    <row r="10" spans="2:19" ht="34" x14ac:dyDescent="0.2">
      <c r="B10" s="181" t="s">
        <v>355</v>
      </c>
      <c r="C10" s="185"/>
      <c r="D10" s="185"/>
      <c r="E10" s="187" t="s">
        <v>364</v>
      </c>
      <c r="F10" s="190" t="s">
        <v>365</v>
      </c>
      <c r="G10" s="190" t="s">
        <v>365</v>
      </c>
      <c r="H10" s="187" t="s">
        <v>362</v>
      </c>
      <c r="J10" s="221"/>
      <c r="K10" s="193" t="s">
        <v>410</v>
      </c>
      <c r="L10" s="195" t="s">
        <v>370</v>
      </c>
      <c r="M10" s="195" t="s">
        <v>371</v>
      </c>
      <c r="N10" s="195" t="s">
        <v>372</v>
      </c>
      <c r="O10" s="233"/>
      <c r="P10" s="195" t="s">
        <v>370</v>
      </c>
      <c r="Q10" s="195" t="s">
        <v>371</v>
      </c>
      <c r="R10" s="195" t="s">
        <v>372</v>
      </c>
      <c r="S10" s="222"/>
    </row>
    <row r="11" spans="2:19" ht="17" x14ac:dyDescent="0.2">
      <c r="B11" s="181" t="s">
        <v>356</v>
      </c>
      <c r="C11" s="161"/>
      <c r="D11" s="161"/>
      <c r="E11" s="161"/>
      <c r="F11" s="144" t="s">
        <v>366</v>
      </c>
      <c r="G11" s="144" t="s">
        <v>366</v>
      </c>
      <c r="H11" s="161"/>
      <c r="J11" s="221"/>
      <c r="K11" s="181" t="s">
        <v>411</v>
      </c>
      <c r="L11" s="213"/>
      <c r="M11" s="213"/>
      <c r="N11" s="213"/>
      <c r="O11" s="181" t="s">
        <v>412</v>
      </c>
      <c r="P11" s="213"/>
      <c r="Q11" s="213"/>
      <c r="R11" s="225"/>
      <c r="S11" s="222"/>
    </row>
    <row r="12" spans="2:19" ht="17" x14ac:dyDescent="0.2">
      <c r="B12" s="181" t="s">
        <v>357</v>
      </c>
      <c r="C12" s="185"/>
      <c r="D12" s="185"/>
      <c r="E12" s="185"/>
      <c r="F12" s="185"/>
      <c r="G12" s="185"/>
      <c r="H12" s="185"/>
      <c r="J12" s="221"/>
      <c r="K12" s="181" t="s">
        <v>413</v>
      </c>
      <c r="L12" s="226"/>
      <c r="M12" s="226"/>
      <c r="N12" s="226"/>
      <c r="O12" s="181" t="s">
        <v>414</v>
      </c>
      <c r="P12" s="226"/>
      <c r="Q12" s="226"/>
      <c r="R12" s="227"/>
      <c r="S12" s="222"/>
    </row>
    <row r="13" spans="2:19" ht="17" x14ac:dyDescent="0.2">
      <c r="J13" s="221"/>
      <c r="K13" s="181" t="s">
        <v>415</v>
      </c>
      <c r="L13" s="213"/>
      <c r="M13" s="213"/>
      <c r="N13" s="213"/>
      <c r="O13" s="181" t="s">
        <v>415</v>
      </c>
      <c r="P13" s="213"/>
      <c r="Q13" s="213"/>
      <c r="R13" s="225"/>
      <c r="S13" s="222"/>
    </row>
    <row r="14" spans="2:19" x14ac:dyDescent="0.2">
      <c r="K14" s="224"/>
      <c r="L14" s="224"/>
      <c r="M14" s="224"/>
      <c r="N14" s="224"/>
      <c r="O14" s="224"/>
      <c r="P14" s="224"/>
      <c r="Q14" s="224"/>
      <c r="R14" s="224"/>
    </row>
    <row r="15" spans="2:19" x14ac:dyDescent="0.2">
      <c r="B15" s="276" t="s">
        <v>33</v>
      </c>
      <c r="C15" s="273" t="s">
        <v>349</v>
      </c>
      <c r="D15" s="274"/>
      <c r="E15" s="275"/>
      <c r="F15" s="273" t="s">
        <v>350</v>
      </c>
      <c r="G15" s="274"/>
      <c r="H15" s="275"/>
    </row>
    <row r="16" spans="2:19" x14ac:dyDescent="0.2">
      <c r="B16" s="276"/>
      <c r="C16" s="182" t="s">
        <v>343</v>
      </c>
      <c r="D16" s="182" t="s">
        <v>344</v>
      </c>
      <c r="E16" s="182" t="s">
        <v>345</v>
      </c>
      <c r="F16" s="182" t="s">
        <v>346</v>
      </c>
      <c r="G16" s="182" t="s">
        <v>347</v>
      </c>
      <c r="H16" s="182" t="s">
        <v>348</v>
      </c>
    </row>
    <row r="17" spans="2:8" ht="34" x14ac:dyDescent="0.2">
      <c r="B17" s="181" t="s">
        <v>351</v>
      </c>
      <c r="C17" s="183">
        <v>200000</v>
      </c>
      <c r="D17" s="183">
        <v>75000</v>
      </c>
      <c r="E17" s="183">
        <v>31000</v>
      </c>
      <c r="F17" s="183">
        <v>80000</v>
      </c>
      <c r="G17" s="183">
        <v>1440000</v>
      </c>
      <c r="H17" s="183">
        <v>150000</v>
      </c>
    </row>
    <row r="18" spans="2:8" ht="34" x14ac:dyDescent="0.2">
      <c r="B18" s="181" t="s">
        <v>352</v>
      </c>
      <c r="C18" s="161">
        <f>C20</f>
        <v>204774</v>
      </c>
      <c r="D18" s="168">
        <f>C20*10%</f>
        <v>20477.400000000001</v>
      </c>
      <c r="E18" s="161">
        <f>C20*10%</f>
        <v>20477.400000000001</v>
      </c>
      <c r="F18" s="166">
        <f>C20*25%</f>
        <v>51193.5</v>
      </c>
      <c r="G18" s="166">
        <f>C20*25%</f>
        <v>51193.5</v>
      </c>
      <c r="H18" s="161">
        <f>C20*30%</f>
        <v>61432.2</v>
      </c>
    </row>
    <row r="19" spans="2:8" ht="17" x14ac:dyDescent="0.2">
      <c r="B19" s="181" t="s">
        <v>353</v>
      </c>
      <c r="C19" s="188">
        <f>D20*5%</f>
        <v>4773.8500000000004</v>
      </c>
      <c r="D19" s="185">
        <f>D20</f>
        <v>95477</v>
      </c>
      <c r="E19" s="188">
        <f>D20*5%</f>
        <v>4773.8500000000004</v>
      </c>
      <c r="F19" s="188">
        <f>D20*45%</f>
        <v>42964.65</v>
      </c>
      <c r="G19" s="188">
        <f>D20*35%</f>
        <v>33416.949999999997</v>
      </c>
      <c r="H19" s="188">
        <f>D20*10%</f>
        <v>9547.7000000000007</v>
      </c>
    </row>
    <row r="20" spans="2:8" ht="34" x14ac:dyDescent="0.2">
      <c r="B20" s="181" t="s">
        <v>354</v>
      </c>
      <c r="C20" s="144">
        <v>204774</v>
      </c>
      <c r="D20" s="144">
        <v>95477</v>
      </c>
      <c r="E20" s="166">
        <f>SUM(E17:E19)</f>
        <v>56251.25</v>
      </c>
      <c r="F20" s="166">
        <f>SUM(F17:F19)</f>
        <v>174158.15</v>
      </c>
      <c r="G20" s="166">
        <v>1524611</v>
      </c>
      <c r="H20" s="166">
        <f t="shared" ref="H20" si="0">SUM(H17:H19)</f>
        <v>220979.90000000002</v>
      </c>
    </row>
    <row r="21" spans="2:8" ht="34" x14ac:dyDescent="0.2">
      <c r="B21" s="181" t="s">
        <v>355</v>
      </c>
      <c r="C21" s="185"/>
      <c r="D21" s="185"/>
      <c r="E21" s="187" t="s">
        <v>364</v>
      </c>
      <c r="F21" s="190" t="s">
        <v>365</v>
      </c>
      <c r="G21" s="190" t="s">
        <v>365</v>
      </c>
      <c r="H21" s="187" t="s">
        <v>362</v>
      </c>
    </row>
    <row r="22" spans="2:8" x14ac:dyDescent="0.2">
      <c r="B22" s="181"/>
      <c r="C22" s="161"/>
      <c r="D22" s="161"/>
      <c r="E22" s="164"/>
      <c r="F22" s="144" t="s">
        <v>366</v>
      </c>
      <c r="G22" s="144" t="s">
        <v>366</v>
      </c>
      <c r="H22" s="164"/>
    </row>
    <row r="23" spans="2:8" ht="17" x14ac:dyDescent="0.2">
      <c r="B23" s="181" t="s">
        <v>356</v>
      </c>
      <c r="C23" s="185"/>
      <c r="D23" s="185"/>
      <c r="E23" s="169">
        <v>6080</v>
      </c>
      <c r="F23" s="161">
        <v>21000</v>
      </c>
      <c r="G23" s="148">
        <v>40000</v>
      </c>
      <c r="H23" s="161">
        <v>4660</v>
      </c>
    </row>
    <row r="24" spans="2:8" ht="17" x14ac:dyDescent="0.2">
      <c r="B24" s="181" t="s">
        <v>357</v>
      </c>
      <c r="C24" s="161"/>
      <c r="D24" s="161"/>
      <c r="E24" s="172">
        <f>E20/E23</f>
        <v>9.2518503289473681</v>
      </c>
      <c r="F24" s="172">
        <f>F20/F23</f>
        <v>8.2932452380952384</v>
      </c>
      <c r="G24" s="172">
        <f t="shared" ref="G24:H24" si="1">G20/G23</f>
        <v>38.115274999999997</v>
      </c>
      <c r="H24" s="172">
        <f t="shared" si="1"/>
        <v>47.420579399141637</v>
      </c>
    </row>
  </sheetData>
  <mergeCells count="8">
    <mergeCell ref="B15:B16"/>
    <mergeCell ref="C15:E15"/>
    <mergeCell ref="F15:H15"/>
    <mergeCell ref="L4:N4"/>
    <mergeCell ref="O4:Q4"/>
    <mergeCell ref="B4:B5"/>
    <mergeCell ref="F4:H4"/>
    <mergeCell ref="C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ch1-Application 1</vt:lpstr>
      <vt:lpstr>ch1-Application 2</vt:lpstr>
      <vt:lpstr>ch1-Application 3</vt:lpstr>
      <vt:lpstr>ch1-Application 4</vt:lpstr>
      <vt:lpstr>ch1-Application 5</vt:lpstr>
      <vt:lpstr>ch1-etudeCas</vt:lpstr>
      <vt:lpstr>ch2-facture</vt:lpstr>
      <vt:lpstr>ch2-facture1&amp;2&amp;3-A</vt:lpstr>
      <vt:lpstr>ch2-facture B</vt:lpstr>
      <vt:lpstr>Ch3-ex</vt:lpstr>
      <vt:lpstr>ch3-étudeCasCours</vt:lpstr>
      <vt:lpstr>Ch3-ex1</vt:lpstr>
      <vt:lpstr>Ch3-ex2</vt:lpstr>
      <vt:lpstr>Ch3-ex3</vt:lpstr>
      <vt:lpstr>Ch3-ex4</vt:lpstr>
      <vt:lpstr>Ch3-ex5</vt:lpstr>
      <vt:lpstr>Ch4</vt:lpstr>
      <vt:lpstr>Ch4-Appli1</vt:lpstr>
      <vt:lpstr>Ch4-Appli2</vt:lpstr>
      <vt:lpstr>Ch4-Appli3</vt:lpstr>
      <vt:lpstr>TestEval</vt:lpstr>
      <vt:lpstr>Ch5-ex1</vt:lpstr>
      <vt:lpstr>Ch5-ex2</vt:lpstr>
      <vt:lpstr>Ch6-ex1</vt:lpstr>
      <vt:lpstr>Ch6-ex2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Aurélien Ruppé</dc:creator>
  <cp:lastModifiedBy>Aurélien Ruppé</cp:lastModifiedBy>
  <dcterms:created xsi:type="dcterms:W3CDTF">2024-01-31T20:11:35Z</dcterms:created>
  <dcterms:modified xsi:type="dcterms:W3CDTF">2024-05-20T15:28:16Z</dcterms:modified>
</cp:coreProperties>
</file>