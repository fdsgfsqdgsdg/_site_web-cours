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8"/>
  <workbookPr filterPrivacy="1"/>
  <xr:revisionPtr revIDLastSave="0" documentId="13_ncr:1_{B26DC632-DE87-4916-AE65-AA39E05085C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5" i="1" l="1"/>
  <c r="B155" i="1"/>
  <c r="C154" i="1"/>
  <c r="B154" i="1"/>
  <c r="C153" i="1"/>
  <c r="B153" i="1"/>
  <c r="C152" i="1"/>
  <c r="B152" i="1"/>
  <c r="C151" i="1"/>
  <c r="C156" i="1" s="1"/>
  <c r="B151" i="1"/>
  <c r="B156" i="1" s="1"/>
  <c r="B133" i="1"/>
  <c r="B132" i="1"/>
  <c r="C131" i="1"/>
  <c r="B131" i="1"/>
  <c r="B130" i="1"/>
  <c r="B129" i="1"/>
  <c r="B122" i="1"/>
  <c r="D98" i="1"/>
  <c r="C98" i="1"/>
  <c r="H97" i="1"/>
  <c r="G97" i="1"/>
  <c r="I97" i="1" s="1"/>
  <c r="D97" i="1"/>
  <c r="C133" i="1" s="1"/>
  <c r="H96" i="1"/>
  <c r="G96" i="1"/>
  <c r="I96" i="1" s="1"/>
  <c r="D96" i="1"/>
  <c r="C132" i="1" s="1"/>
  <c r="H95" i="1"/>
  <c r="G95" i="1"/>
  <c r="I95" i="1" s="1"/>
  <c r="D95" i="1"/>
  <c r="H94" i="1"/>
  <c r="H98" i="1" s="1"/>
  <c r="G94" i="1"/>
  <c r="I94" i="1" s="1"/>
  <c r="D94" i="1"/>
  <c r="C130" i="1" s="1"/>
  <c r="H93" i="1"/>
  <c r="G93" i="1"/>
  <c r="I93" i="1" s="1"/>
  <c r="D93" i="1"/>
  <c r="C129" i="1" s="1"/>
  <c r="C46" i="1"/>
  <c r="E22" i="1"/>
  <c r="D22" i="1"/>
  <c r="F22" i="1" s="1"/>
  <c r="C22" i="1"/>
  <c r="E21" i="1"/>
  <c r="D21" i="1"/>
  <c r="F21" i="1" s="1"/>
  <c r="C21" i="1"/>
  <c r="E20" i="1"/>
  <c r="D20" i="1"/>
  <c r="F20" i="1" s="1"/>
  <c r="C20" i="1"/>
  <c r="E19" i="1"/>
  <c r="D19" i="1"/>
  <c r="C19" i="1"/>
  <c r="E18" i="1"/>
  <c r="D18" i="1"/>
  <c r="F18" i="1" s="1"/>
  <c r="C18" i="1"/>
  <c r="E57" i="1" l="1"/>
  <c r="C57" i="1"/>
  <c r="F57" i="1" s="1"/>
  <c r="H107" i="1"/>
  <c r="C107" i="1" s="1"/>
  <c r="C118" i="1" s="1"/>
  <c r="G107" i="1"/>
  <c r="H105" i="1"/>
  <c r="C105" i="1" s="1"/>
  <c r="C116" i="1" s="1"/>
  <c r="G105" i="1"/>
  <c r="E58" i="1"/>
  <c r="C58" i="1"/>
  <c r="F58" i="1" s="1"/>
  <c r="G108" i="1"/>
  <c r="H108" i="1"/>
  <c r="C108" i="1" s="1"/>
  <c r="C119" i="1" s="1"/>
  <c r="E56" i="1"/>
  <c r="C56" i="1"/>
  <c r="H106" i="1"/>
  <c r="C106" i="1" s="1"/>
  <c r="C117" i="1" s="1"/>
  <c r="G106" i="1"/>
  <c r="E54" i="1"/>
  <c r="C54" i="1"/>
  <c r="G104" i="1"/>
  <c r="I98" i="1"/>
  <c r="H104" i="1"/>
  <c r="D55" i="1"/>
  <c r="D57" i="1"/>
  <c r="G98" i="1"/>
  <c r="C23" i="1"/>
  <c r="D23" i="1"/>
  <c r="D77" i="1" s="1"/>
  <c r="E23" i="1"/>
  <c r="E77" i="1" s="1"/>
  <c r="D54" i="1"/>
  <c r="D56" i="1"/>
  <c r="D58" i="1"/>
  <c r="F19" i="1"/>
  <c r="F23" i="1" s="1"/>
  <c r="I22" i="1" l="1"/>
  <c r="I21" i="1"/>
  <c r="I20" i="1"/>
  <c r="L20" i="1" s="1"/>
  <c r="I19" i="1"/>
  <c r="L19" i="1" s="1"/>
  <c r="I18" i="1"/>
  <c r="J22" i="1"/>
  <c r="J21" i="1"/>
  <c r="J19" i="1"/>
  <c r="J18" i="1"/>
  <c r="J20" i="1"/>
  <c r="K22" i="1"/>
  <c r="K21" i="1"/>
  <c r="K20" i="1"/>
  <c r="K19" i="1"/>
  <c r="K18" i="1"/>
  <c r="H109" i="1"/>
  <c r="C134" i="1" s="1"/>
  <c r="C104" i="1"/>
  <c r="C76" i="1"/>
  <c r="C74" i="1"/>
  <c r="F54" i="1"/>
  <c r="C77" i="1"/>
  <c r="C75" i="1"/>
  <c r="D74" i="1"/>
  <c r="D76" i="1"/>
  <c r="E76" i="1"/>
  <c r="E74" i="1"/>
  <c r="C73" i="1"/>
  <c r="C78" i="1" s="1"/>
  <c r="F56" i="1"/>
  <c r="I105" i="1"/>
  <c r="D152" i="1" s="1"/>
  <c r="B105" i="1"/>
  <c r="E73" i="1"/>
  <c r="E55" i="1"/>
  <c r="C55" i="1"/>
  <c r="F55" i="1" s="1"/>
  <c r="D75" i="1"/>
  <c r="D73" i="1"/>
  <c r="D78" i="1" s="1"/>
  <c r="E75" i="1"/>
  <c r="B108" i="1"/>
  <c r="I108" i="1"/>
  <c r="D155" i="1" s="1"/>
  <c r="B107" i="1"/>
  <c r="I107" i="1"/>
  <c r="D154" i="1" s="1"/>
  <c r="I106" i="1"/>
  <c r="D153" i="1" s="1"/>
  <c r="B106" i="1"/>
  <c r="G109" i="1"/>
  <c r="B134" i="1" s="1"/>
  <c r="B104" i="1"/>
  <c r="I104" i="1"/>
  <c r="D104" i="1" l="1"/>
  <c r="B109" i="1"/>
  <c r="B115" i="1"/>
  <c r="B117" i="1"/>
  <c r="D117" i="1" s="1"/>
  <c r="D106" i="1"/>
  <c r="J23" i="1"/>
  <c r="E78" i="1"/>
  <c r="K23" i="1"/>
  <c r="J30" i="1"/>
  <c r="D30" i="1" s="1"/>
  <c r="D41" i="1" s="1"/>
  <c r="K30" i="1"/>
  <c r="E30" i="1" s="1"/>
  <c r="E41" i="1" s="1"/>
  <c r="L22" i="1"/>
  <c r="D107" i="1"/>
  <c r="B118" i="1"/>
  <c r="D118" i="1" s="1"/>
  <c r="D105" i="1"/>
  <c r="B116" i="1"/>
  <c r="D116" i="1" s="1"/>
  <c r="J29" i="1"/>
  <c r="D29" i="1" s="1"/>
  <c r="D40" i="1" s="1"/>
  <c r="K29" i="1"/>
  <c r="E29" i="1" s="1"/>
  <c r="E40" i="1" s="1"/>
  <c r="L21" i="1"/>
  <c r="C109" i="1"/>
  <c r="C115" i="1"/>
  <c r="I109" i="1"/>
  <c r="D151" i="1"/>
  <c r="D156" i="1" s="1"/>
  <c r="D108" i="1"/>
  <c r="B119" i="1"/>
  <c r="D119" i="1" s="1"/>
  <c r="I23" i="1"/>
  <c r="I30" i="1" s="1"/>
  <c r="L18" i="1"/>
  <c r="C30" i="1" l="1"/>
  <c r="L30" i="1"/>
  <c r="F75" i="1" s="1"/>
  <c r="I31" i="1"/>
  <c r="J31" i="1"/>
  <c r="D31" i="1" s="1"/>
  <c r="D42" i="1" s="1"/>
  <c r="K31" i="1"/>
  <c r="E31" i="1" s="1"/>
  <c r="E42" i="1" s="1"/>
  <c r="I29" i="1"/>
  <c r="D109" i="1"/>
  <c r="D115" i="1"/>
  <c r="D120" i="1" s="1"/>
  <c r="B121" i="1"/>
  <c r="I28" i="1"/>
  <c r="J28" i="1"/>
  <c r="L23" i="1"/>
  <c r="K28" i="1"/>
  <c r="I32" i="1"/>
  <c r="J32" i="1"/>
  <c r="D32" i="1" s="1"/>
  <c r="D43" i="1" s="1"/>
  <c r="K32" i="1"/>
  <c r="E32" i="1" s="1"/>
  <c r="E43" i="1" s="1"/>
  <c r="I33" i="1" l="1"/>
  <c r="C59" i="1" s="1"/>
  <c r="C28" i="1"/>
  <c r="L28" i="1"/>
  <c r="C32" i="1"/>
  <c r="L32" i="1"/>
  <c r="F77" i="1" s="1"/>
  <c r="C29" i="1"/>
  <c r="L29" i="1"/>
  <c r="F74" i="1" s="1"/>
  <c r="D28" i="1"/>
  <c r="J33" i="1"/>
  <c r="D59" i="1" s="1"/>
  <c r="E28" i="1"/>
  <c r="K33" i="1"/>
  <c r="E59" i="1" s="1"/>
  <c r="C31" i="1"/>
  <c r="L31" i="1"/>
  <c r="F76" i="1" s="1"/>
  <c r="F30" i="1"/>
  <c r="C41" i="1"/>
  <c r="C43" i="1" l="1"/>
  <c r="F32" i="1"/>
  <c r="E33" i="1"/>
  <c r="E39" i="1"/>
  <c r="D33" i="1"/>
  <c r="D39" i="1"/>
  <c r="C40" i="1"/>
  <c r="F29" i="1"/>
  <c r="F31" i="1"/>
  <c r="C42" i="1"/>
  <c r="F73" i="1"/>
  <c r="F78" i="1" s="1"/>
  <c r="L33" i="1"/>
  <c r="F28" i="1"/>
  <c r="C33" i="1"/>
  <c r="C39" i="1"/>
  <c r="C45" i="1" l="1"/>
  <c r="F33" i="1"/>
</calcChain>
</file>

<file path=xl/sharedStrings.xml><?xml version="1.0" encoding="utf-8"?>
<sst xmlns="http://schemas.openxmlformats.org/spreadsheetml/2006/main" count="204" uniqueCount="41">
  <si>
    <t>Exercice 2 : TP bivarié Qualitatif*Qualitatif</t>
  </si>
  <si>
    <r>
      <t>Source :</t>
    </r>
    <r>
      <rPr>
        <sz val="10"/>
        <color indexed="8"/>
        <rFont val="Arial"/>
        <family val="2"/>
      </rPr>
      <t xml:space="preserve"> Enquête sur l’emploi de 1997, INSEE résultats, série « Emploi – Revenus » n°127-128, sept.1997.</t>
    </r>
  </si>
  <si>
    <t>France: Chômeur (BIT) en mars 1997 selon le sexe, l’âge et l’ancienneté de chômage (en milliers)</t>
  </si>
  <si>
    <t>Ancienneté de chômage</t>
  </si>
  <si>
    <t>Age (hommes)</t>
  </si>
  <si>
    <t>Age (femmes)</t>
  </si>
  <si>
    <t>15-24</t>
  </si>
  <si>
    <t>25-49</t>
  </si>
  <si>
    <t>50 et +</t>
  </si>
  <si>
    <t>Total</t>
  </si>
  <si>
    <t>Non renseigné</t>
  </si>
  <si>
    <t>Moins de 3 mois</t>
  </si>
  <si>
    <t>De 3 mois à 1 an</t>
  </si>
  <si>
    <t>De 1 an à moins de 2 ans</t>
  </si>
  <si>
    <t>2 ans et plus</t>
  </si>
  <si>
    <t>On étudie le lien entre les deux variables 'Age' et 'durée de chomage'</t>
  </si>
  <si>
    <t>Question 1</t>
  </si>
  <si>
    <t>Effectifs observés (H+F)</t>
  </si>
  <si>
    <t>Fréquences observées</t>
  </si>
  <si>
    <t>Age</t>
  </si>
  <si>
    <t>Effectifs théoriques</t>
  </si>
  <si>
    <t>Tableau des écarts</t>
  </si>
  <si>
    <t>Distance du chi-deux</t>
  </si>
  <si>
    <t>d.d.l.</t>
  </si>
  <si>
    <t>seuil</t>
  </si>
  <si>
    <t>Question 2</t>
  </si>
  <si>
    <t>Profils lignes</t>
  </si>
  <si>
    <t>Profil ligne moyen</t>
  </si>
  <si>
    <t>Question 3</t>
  </si>
  <si>
    <t>Profils colonnes</t>
  </si>
  <si>
    <t>Profil moyen colonne</t>
  </si>
  <si>
    <t>Maintenant on va faire le meme etude mais par sexe.</t>
  </si>
  <si>
    <t>Effectifs observés</t>
  </si>
  <si>
    <t>Sexe</t>
  </si>
  <si>
    <t>Homme</t>
  </si>
  <si>
    <t>Femme</t>
  </si>
  <si>
    <t>Fréquences théoriques</t>
  </si>
  <si>
    <t xml:space="preserve"> </t>
  </si>
  <si>
    <t>Profil colonne moyen</t>
  </si>
  <si>
    <t>On considere la variable Age comme variable qualitative, don’t les modalités sont les tranches d'age.</t>
  </si>
  <si>
    <t>On commencer à regrouper les hommes seuls et les femmes seuls, independament de leur âge!!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</si>
</sst>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0000FF"/>
      <name val="Arial"/>
      <family val="2"/>
    </font>
    <font>
      <b/>
      <u/>
      <sz val="10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2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8"/>
      <color theme="0" tint="-0.14999847407452621"/>
      <name val="Arial"/>
      <family val="2"/>
    </font>
    <font>
      <sz val="8"/>
      <color theme="0" tint="-0.14999847407452621"/>
      <name val="Calibri"/>
      <family val="2"/>
      <scheme val="minor"/>
    </font>
    <font>
      <b/>
      <sz val="8"/>
      <color theme="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6" fillId="0" borderId="8" xfId="0" applyFont="1" applyBorder="1" applyAlignment="1">
      <alignment horizont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0" fontId="7" fillId="0" borderId="0" xfId="0" applyFont="1"/>
    <xf numFmtId="0" fontId="6" fillId="0" borderId="0" xfId="0" applyFont="1" applyBorder="1" applyAlignment="1">
      <alignment horizontal="center" vertical="top" wrapText="1"/>
    </xf>
    <xf numFmtId="0" fontId="8" fillId="2" borderId="0" xfId="0" applyFont="1" applyFill="1"/>
    <xf numFmtId="0" fontId="9" fillId="0" borderId="8" xfId="0" applyFont="1" applyBorder="1" applyAlignment="1">
      <alignment horizontal="center" wrapText="1"/>
    </xf>
    <xf numFmtId="0" fontId="9" fillId="0" borderId="8" xfId="0" applyFont="1" applyBorder="1" applyAlignment="1">
      <alignment horizontal="center" vertical="top" wrapText="1"/>
    </xf>
    <xf numFmtId="0" fontId="9" fillId="0" borderId="9" xfId="0" applyFont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horizontal="center" vertical="top" wrapText="1"/>
    </xf>
    <xf numFmtId="0" fontId="10" fillId="0" borderId="8" xfId="0" applyFont="1" applyBorder="1" applyAlignment="1">
      <alignment horizontal="center" wrapText="1"/>
    </xf>
    <xf numFmtId="0" fontId="10" fillId="0" borderId="8" xfId="0" applyFont="1" applyBorder="1" applyAlignment="1">
      <alignment horizontal="center" vertical="top" wrapText="1"/>
    </xf>
    <xf numFmtId="0" fontId="11" fillId="0" borderId="0" xfId="0" applyFont="1"/>
    <xf numFmtId="0" fontId="10" fillId="0" borderId="9" xfId="0" applyFont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6" fillId="0" borderId="11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vertical="top" wrapText="1"/>
    </xf>
    <xf numFmtId="0" fontId="12" fillId="0" borderId="8" xfId="0" applyFont="1" applyBorder="1" applyAlignment="1">
      <alignment horizontal="center" wrapText="1"/>
    </xf>
    <xf numFmtId="0" fontId="0" fillId="2" borderId="0" xfId="0" applyFill="1"/>
    <xf numFmtId="0" fontId="6" fillId="0" borderId="2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Profils lignes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'[1]Exo 2'!$C$53</c:f>
              <c:strCache>
                <c:ptCount val="1"/>
                <c:pt idx="0">
                  <c:v>15-24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'[1]Exo 2'!$B$54:$B$59</c:f>
              <c:strCache>
                <c:ptCount val="6"/>
                <c:pt idx="0">
                  <c:v>Non renseigné</c:v>
                </c:pt>
                <c:pt idx="1">
                  <c:v>Moins de 3 mois</c:v>
                </c:pt>
                <c:pt idx="2">
                  <c:v>De 3 mois à 1 an</c:v>
                </c:pt>
                <c:pt idx="3">
                  <c:v>De 1 an à moins de 2 ans</c:v>
                </c:pt>
                <c:pt idx="4">
                  <c:v>2 ans et plus</c:v>
                </c:pt>
                <c:pt idx="5">
                  <c:v>Profil ligne moyen</c:v>
                </c:pt>
              </c:strCache>
            </c:strRef>
          </c:cat>
          <c:val>
            <c:numRef>
              <c:f>'[1]Exo 2'!$C$54:$C$59</c:f>
              <c:numCache>
                <c:formatCode>General</c:formatCode>
                <c:ptCount val="6"/>
                <c:pt idx="0">
                  <c:v>0.23021582733812951</c:v>
                </c:pt>
                <c:pt idx="1">
                  <c:v>0.25082995204721509</c:v>
                </c:pt>
                <c:pt idx="2">
                  <c:v>0.25555278263039682</c:v>
                </c:pt>
                <c:pt idx="3">
                  <c:v>0.13992600067272115</c:v>
                </c:pt>
                <c:pt idx="4">
                  <c:v>7.4944426802159431E-2</c:v>
                </c:pt>
                <c:pt idx="5">
                  <c:v>0.19502819067145055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5-4292-8B92-3981187A985A}"/>
            </c:ext>
          </c:extLst>
        </c:ser>
        <c:ser>
          <c:idx val="1"/>
          <c:order val="1"/>
          <c:tx>
            <c:strRef>
              <c:f>'[1]Exo 2'!$D$53</c:f>
              <c:strCache>
                <c:ptCount val="1"/>
                <c:pt idx="0">
                  <c:v>25-49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'[1]Exo 2'!$B$54:$B$59</c:f>
              <c:strCache>
                <c:ptCount val="6"/>
                <c:pt idx="0">
                  <c:v>Non renseigné</c:v>
                </c:pt>
                <c:pt idx="1">
                  <c:v>Moins de 3 mois</c:v>
                </c:pt>
                <c:pt idx="2">
                  <c:v>De 3 mois à 1 an</c:v>
                </c:pt>
                <c:pt idx="3">
                  <c:v>De 1 an à moins de 2 ans</c:v>
                </c:pt>
                <c:pt idx="4">
                  <c:v>2 ans et plus</c:v>
                </c:pt>
                <c:pt idx="5">
                  <c:v>Profil ligne moyen</c:v>
                </c:pt>
              </c:strCache>
            </c:strRef>
          </c:cat>
          <c:val>
            <c:numRef>
              <c:f>'[1]Exo 2'!$D$54:$D$59</c:f>
              <c:numCache>
                <c:formatCode>General</c:formatCode>
                <c:ptCount val="6"/>
                <c:pt idx="0">
                  <c:v>0.63309352517985606</c:v>
                </c:pt>
                <c:pt idx="1">
                  <c:v>0.67299889339727037</c:v>
                </c:pt>
                <c:pt idx="2">
                  <c:v>0.65468762998086671</c:v>
                </c:pt>
                <c:pt idx="3">
                  <c:v>0.69576185671039348</c:v>
                </c:pt>
                <c:pt idx="4">
                  <c:v>0.67862813591616389</c:v>
                </c:pt>
                <c:pt idx="5">
                  <c:v>0.66946437724243968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65-4292-8B92-3981187A985A}"/>
            </c:ext>
          </c:extLst>
        </c:ser>
        <c:ser>
          <c:idx val="2"/>
          <c:order val="2"/>
          <c:tx>
            <c:strRef>
              <c:f>'[1]Exo 2'!$E$53</c:f>
              <c:strCache>
                <c:ptCount val="1"/>
                <c:pt idx="0">
                  <c:v>50 et +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cat>
            <c:strRef>
              <c:f>'[1]Exo 2'!$B$54:$B$59</c:f>
              <c:strCache>
                <c:ptCount val="6"/>
                <c:pt idx="0">
                  <c:v>Non renseigné</c:v>
                </c:pt>
                <c:pt idx="1">
                  <c:v>Moins de 3 mois</c:v>
                </c:pt>
                <c:pt idx="2">
                  <c:v>De 3 mois à 1 an</c:v>
                </c:pt>
                <c:pt idx="3">
                  <c:v>De 1 an à moins de 2 ans</c:v>
                </c:pt>
                <c:pt idx="4">
                  <c:v>2 ans et plus</c:v>
                </c:pt>
                <c:pt idx="5">
                  <c:v>Profil ligne moyen</c:v>
                </c:pt>
              </c:strCache>
            </c:strRef>
          </c:cat>
          <c:val>
            <c:numRef>
              <c:f>'[1]Exo 2'!$E$54:$E$59</c:f>
              <c:numCache>
                <c:formatCode>General</c:formatCode>
                <c:ptCount val="6"/>
                <c:pt idx="0">
                  <c:v>0.13669064748201437</c:v>
                </c:pt>
                <c:pt idx="1">
                  <c:v>7.617115455551457E-2</c:v>
                </c:pt>
                <c:pt idx="2">
                  <c:v>8.9759587388736378E-2</c:v>
                </c:pt>
                <c:pt idx="3">
                  <c:v>0.16431214261688529</c:v>
                </c:pt>
                <c:pt idx="4">
                  <c:v>0.24642743728167671</c:v>
                </c:pt>
                <c:pt idx="5">
                  <c:v>0.13550743208610966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65-4292-8B92-3981187A9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912415"/>
        <c:axId val="1"/>
      </c:barChart>
      <c:catAx>
        <c:axId val="18491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12415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'[1]Exo 2'!$B$73</c:f>
              <c:strCache>
                <c:ptCount val="1"/>
                <c:pt idx="0">
                  <c:v>Non renseigné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'[1]Exo 2'!$C$72:$F$72</c:f>
              <c:strCache>
                <c:ptCount val="4"/>
                <c:pt idx="0">
                  <c:v>15-24</c:v>
                </c:pt>
                <c:pt idx="1">
                  <c:v>25-49</c:v>
                </c:pt>
                <c:pt idx="2">
                  <c:v>50 et +</c:v>
                </c:pt>
                <c:pt idx="3">
                  <c:v>Profil moyen colonne</c:v>
                </c:pt>
              </c:strCache>
            </c:strRef>
          </c:cat>
          <c:val>
            <c:numRef>
              <c:f>'[1]Exo 2'!$C$73:$F$73</c:f>
              <c:numCache>
                <c:formatCode>General</c:formatCode>
                <c:ptCount val="4"/>
                <c:pt idx="0">
                  <c:v>5.7818659658344283E-2</c:v>
                </c:pt>
                <c:pt idx="1">
                  <c:v>4.6320222030816344E-2</c:v>
                </c:pt>
                <c:pt idx="2">
                  <c:v>4.9408983451536638E-2</c:v>
                </c:pt>
                <c:pt idx="3">
                  <c:v>4.8981291645310093E-2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6-4260-BC85-912F1F28EB75}"/>
            </c:ext>
          </c:extLst>
        </c:ser>
        <c:ser>
          <c:idx val="1"/>
          <c:order val="1"/>
          <c:tx>
            <c:strRef>
              <c:f>'[1]Exo 2'!$B$74</c:f>
              <c:strCache>
                <c:ptCount val="1"/>
                <c:pt idx="0">
                  <c:v>Moins de 3 mois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'[1]Exo 2'!$C$72:$F$72</c:f>
              <c:strCache>
                <c:ptCount val="4"/>
                <c:pt idx="0">
                  <c:v>15-24</c:v>
                </c:pt>
                <c:pt idx="1">
                  <c:v>25-49</c:v>
                </c:pt>
                <c:pt idx="2">
                  <c:v>50 et +</c:v>
                </c:pt>
                <c:pt idx="3">
                  <c:v>Profil moyen colonne</c:v>
                </c:pt>
              </c:strCache>
            </c:strRef>
          </c:cat>
          <c:val>
            <c:numRef>
              <c:f>'[1]Exo 2'!$C$74:$F$74</c:f>
              <c:numCache>
                <c:formatCode>General</c:formatCode>
                <c:ptCount val="4"/>
                <c:pt idx="0">
                  <c:v>0.22339027595269381</c:v>
                </c:pt>
                <c:pt idx="1">
                  <c:v>0.17461001052732317</c:v>
                </c:pt>
                <c:pt idx="2">
                  <c:v>9.763593380614656E-2</c:v>
                </c:pt>
                <c:pt idx="3">
                  <c:v>0.17369297796002048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66-4260-BC85-912F1F28EB75}"/>
            </c:ext>
          </c:extLst>
        </c:ser>
        <c:ser>
          <c:idx val="2"/>
          <c:order val="2"/>
          <c:tx>
            <c:strRef>
              <c:f>'[1]Exo 2'!$B$75</c:f>
              <c:strCache>
                <c:ptCount val="1"/>
                <c:pt idx="0">
                  <c:v>De 3 mois à 1 an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cat>
            <c:strRef>
              <c:f>'[1]Exo 2'!$C$72:$F$72</c:f>
              <c:strCache>
                <c:ptCount val="4"/>
                <c:pt idx="0">
                  <c:v>15-24</c:v>
                </c:pt>
                <c:pt idx="1">
                  <c:v>25-49</c:v>
                </c:pt>
                <c:pt idx="2">
                  <c:v>50 et +</c:v>
                </c:pt>
                <c:pt idx="3">
                  <c:v>Profil moyen colonne</c:v>
                </c:pt>
              </c:strCache>
            </c:strRef>
          </c:cat>
          <c:val>
            <c:numRef>
              <c:f>'[1]Exo 2'!$C$75:$F$75</c:f>
              <c:numCache>
                <c:formatCode>General</c:formatCode>
                <c:ptCount val="4"/>
                <c:pt idx="0">
                  <c:v>0.504599211563732</c:v>
                </c:pt>
                <c:pt idx="1">
                  <c:v>0.37659106134558329</c:v>
                </c:pt>
                <c:pt idx="2">
                  <c:v>0.25508274231678491</c:v>
                </c:pt>
                <c:pt idx="3">
                  <c:v>0.38509097898513583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66-4260-BC85-912F1F28EB75}"/>
            </c:ext>
          </c:extLst>
        </c:ser>
        <c:ser>
          <c:idx val="3"/>
          <c:order val="3"/>
          <c:tx>
            <c:strRef>
              <c:f>'[1]Exo 2'!$B$76</c:f>
              <c:strCache>
                <c:ptCount val="1"/>
                <c:pt idx="0">
                  <c:v>De 1 an à moins de 2 ans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cat>
            <c:strRef>
              <c:f>'[1]Exo 2'!$C$72:$F$72</c:f>
              <c:strCache>
                <c:ptCount val="4"/>
                <c:pt idx="0">
                  <c:v>15-24</c:v>
                </c:pt>
                <c:pt idx="1">
                  <c:v>25-49</c:v>
                </c:pt>
                <c:pt idx="2">
                  <c:v>50 et +</c:v>
                </c:pt>
                <c:pt idx="3">
                  <c:v>Profil moyen colonne</c:v>
                </c:pt>
              </c:strCache>
            </c:strRef>
          </c:cat>
          <c:val>
            <c:numRef>
              <c:f>'[1]Exo 2'!$C$76:$F$76</c:f>
              <c:numCache>
                <c:formatCode>General</c:formatCode>
                <c:ptCount val="4"/>
                <c:pt idx="0">
                  <c:v>0.13666228646517739</c:v>
                </c:pt>
                <c:pt idx="1">
                  <c:v>0.19796152741889173</c:v>
                </c:pt>
                <c:pt idx="2">
                  <c:v>0.23096926713947991</c:v>
                </c:pt>
                <c:pt idx="3">
                  <c:v>0.19047924141465913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66-4260-BC85-912F1F28EB75}"/>
            </c:ext>
          </c:extLst>
        </c:ser>
        <c:ser>
          <c:idx val="4"/>
          <c:order val="4"/>
          <c:tx>
            <c:strRef>
              <c:f>'[1]Exo 2'!$B$77</c:f>
              <c:strCache>
                <c:ptCount val="1"/>
                <c:pt idx="0">
                  <c:v>2 ans et plus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invertIfNegative val="0"/>
          <c:cat>
            <c:strRef>
              <c:f>'[1]Exo 2'!$C$72:$F$72</c:f>
              <c:strCache>
                <c:ptCount val="4"/>
                <c:pt idx="0">
                  <c:v>15-24</c:v>
                </c:pt>
                <c:pt idx="1">
                  <c:v>25-49</c:v>
                </c:pt>
                <c:pt idx="2">
                  <c:v>50 et +</c:v>
                </c:pt>
                <c:pt idx="3">
                  <c:v>Profil moyen colonne</c:v>
                </c:pt>
              </c:strCache>
            </c:strRef>
          </c:cat>
          <c:val>
            <c:numRef>
              <c:f>'[1]Exo 2'!$C$77:$F$77</c:f>
              <c:numCache>
                <c:formatCode>General</c:formatCode>
                <c:ptCount val="4"/>
                <c:pt idx="0">
                  <c:v>7.7529566360052565E-2</c:v>
                </c:pt>
                <c:pt idx="1">
                  <c:v>0.20451717867738536</c:v>
                </c:pt>
                <c:pt idx="2">
                  <c:v>0.36690307328605198</c:v>
                </c:pt>
                <c:pt idx="3">
                  <c:v>0.20175550999487435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66-4260-BC85-912F1F28E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912015"/>
        <c:axId val="1"/>
      </c:barChart>
      <c:catAx>
        <c:axId val="18491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12015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Profils ligne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'[2]Exo2 Question4'!$B$41:$B$42</c:f>
              <c:strCache>
                <c:ptCount val="1"/>
                <c:pt idx="0">
                  <c:v>Sexe Homme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'[2]Exo2 Question4'!$A$43:$A$48</c:f>
              <c:strCache>
                <c:ptCount val="6"/>
                <c:pt idx="0">
                  <c:v>Non renseigné</c:v>
                </c:pt>
                <c:pt idx="1">
                  <c:v>Moins de 3 mois</c:v>
                </c:pt>
                <c:pt idx="2">
                  <c:v>De 3 mois à 1 an</c:v>
                </c:pt>
                <c:pt idx="3">
                  <c:v>De 1 an à moins de 2 ans</c:v>
                </c:pt>
                <c:pt idx="4">
                  <c:v>2 ans et plus</c:v>
                </c:pt>
                <c:pt idx="5">
                  <c:v>Profil ligne moyen</c:v>
                </c:pt>
              </c:strCache>
            </c:strRef>
          </c:cat>
          <c:val>
            <c:numRef>
              <c:f>'[2]Exo2 Question4'!$B$43:$B$48</c:f>
              <c:numCache>
                <c:formatCode>General</c:formatCode>
                <c:ptCount val="6"/>
                <c:pt idx="0">
                  <c:v>0.57096141268803147</c:v>
                </c:pt>
                <c:pt idx="1">
                  <c:v>0.50959055699004052</c:v>
                </c:pt>
                <c:pt idx="2">
                  <c:v>0.49812827551784378</c:v>
                </c:pt>
                <c:pt idx="3">
                  <c:v>0.4624957954927682</c:v>
                </c:pt>
                <c:pt idx="4">
                  <c:v>0.45379485550968568</c:v>
                </c:pt>
                <c:pt idx="5">
                  <c:v>0.48795489492567912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1-40CC-87BC-82D00E19B4D3}"/>
            </c:ext>
          </c:extLst>
        </c:ser>
        <c:ser>
          <c:idx val="1"/>
          <c:order val="1"/>
          <c:tx>
            <c:strRef>
              <c:f>'[2]Exo2 Question4'!$C$41:$C$42</c:f>
              <c:strCache>
                <c:ptCount val="1"/>
                <c:pt idx="0">
                  <c:v>Sexe Femme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'[2]Exo2 Question4'!$A$43:$A$48</c:f>
              <c:strCache>
                <c:ptCount val="6"/>
                <c:pt idx="0">
                  <c:v>Non renseigné</c:v>
                </c:pt>
                <c:pt idx="1">
                  <c:v>Moins de 3 mois</c:v>
                </c:pt>
                <c:pt idx="2">
                  <c:v>De 3 mois à 1 an</c:v>
                </c:pt>
                <c:pt idx="3">
                  <c:v>De 1 an à moins de 2 ans</c:v>
                </c:pt>
                <c:pt idx="4">
                  <c:v>2 ans et plus</c:v>
                </c:pt>
                <c:pt idx="5">
                  <c:v>Profil ligne moyen</c:v>
                </c:pt>
              </c:strCache>
            </c:strRef>
          </c:cat>
          <c:val>
            <c:numRef>
              <c:f>'[2]Exo2 Question4'!$C$43:$C$48</c:f>
              <c:numCache>
                <c:formatCode>General</c:formatCode>
                <c:ptCount val="6"/>
                <c:pt idx="0">
                  <c:v>0.42903858731196864</c:v>
                </c:pt>
                <c:pt idx="1">
                  <c:v>0.49040944300995937</c:v>
                </c:pt>
                <c:pt idx="2">
                  <c:v>0.50187172448215622</c:v>
                </c:pt>
                <c:pt idx="3">
                  <c:v>0.5375042045072318</c:v>
                </c:pt>
                <c:pt idx="4">
                  <c:v>0.54620514449031443</c:v>
                </c:pt>
                <c:pt idx="5">
                  <c:v>0.51204510507432066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1-40CC-87BC-82D00E19B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908415"/>
        <c:axId val="1"/>
      </c:barChart>
      <c:catAx>
        <c:axId val="18490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908415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86247457204932"/>
          <c:y val="0.89199531876697236"/>
          <c:w val="0.41836186337867703"/>
          <c:h val="7.202451966231493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Profils ligne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'[2]Exo2 Question4'!$B$41:$B$42</c:f>
              <c:strCache>
                <c:ptCount val="1"/>
                <c:pt idx="0">
                  <c:v>Sexe Homme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'[2]Exo2 Question4'!$A$43:$A$48</c:f>
              <c:strCache>
                <c:ptCount val="6"/>
                <c:pt idx="0">
                  <c:v>Non renseigné</c:v>
                </c:pt>
                <c:pt idx="1">
                  <c:v>Moins de 3 mois</c:v>
                </c:pt>
                <c:pt idx="2">
                  <c:v>De 3 mois à 1 an</c:v>
                </c:pt>
                <c:pt idx="3">
                  <c:v>De 1 an à moins de 2 ans</c:v>
                </c:pt>
                <c:pt idx="4">
                  <c:v>2 ans et plus</c:v>
                </c:pt>
                <c:pt idx="5">
                  <c:v>Profil ligne moyen</c:v>
                </c:pt>
              </c:strCache>
            </c:strRef>
          </c:cat>
          <c:val>
            <c:numRef>
              <c:f>'[2]Exo2 Question4'!$B$43:$B$48</c:f>
              <c:numCache>
                <c:formatCode>General</c:formatCode>
                <c:ptCount val="6"/>
                <c:pt idx="0">
                  <c:v>0.57096141268803147</c:v>
                </c:pt>
                <c:pt idx="1">
                  <c:v>0.50959055699004052</c:v>
                </c:pt>
                <c:pt idx="2">
                  <c:v>0.49812827551784378</c:v>
                </c:pt>
                <c:pt idx="3">
                  <c:v>0.4624957954927682</c:v>
                </c:pt>
                <c:pt idx="4">
                  <c:v>0.45379485550968568</c:v>
                </c:pt>
                <c:pt idx="5">
                  <c:v>0.48795489492567912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9-4350-BB38-2041EF177DB0}"/>
            </c:ext>
          </c:extLst>
        </c:ser>
        <c:ser>
          <c:idx val="1"/>
          <c:order val="1"/>
          <c:tx>
            <c:strRef>
              <c:f>'[2]Exo2 Question4'!$C$41:$C$42</c:f>
              <c:strCache>
                <c:ptCount val="1"/>
                <c:pt idx="0">
                  <c:v>Sexe Femme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'[2]Exo2 Question4'!$A$43:$A$48</c:f>
              <c:strCache>
                <c:ptCount val="6"/>
                <c:pt idx="0">
                  <c:v>Non renseigné</c:v>
                </c:pt>
                <c:pt idx="1">
                  <c:v>Moins de 3 mois</c:v>
                </c:pt>
                <c:pt idx="2">
                  <c:v>De 3 mois à 1 an</c:v>
                </c:pt>
                <c:pt idx="3">
                  <c:v>De 1 an à moins de 2 ans</c:v>
                </c:pt>
                <c:pt idx="4">
                  <c:v>2 ans et plus</c:v>
                </c:pt>
                <c:pt idx="5">
                  <c:v>Profil ligne moyen</c:v>
                </c:pt>
              </c:strCache>
            </c:strRef>
          </c:cat>
          <c:val>
            <c:numRef>
              <c:f>'[2]Exo2 Question4'!$C$43:$C$48</c:f>
              <c:numCache>
                <c:formatCode>General</c:formatCode>
                <c:ptCount val="6"/>
                <c:pt idx="0">
                  <c:v>0.42903858731196864</c:v>
                </c:pt>
                <c:pt idx="1">
                  <c:v>0.49040944300995937</c:v>
                </c:pt>
                <c:pt idx="2">
                  <c:v>0.50187172448215622</c:v>
                </c:pt>
                <c:pt idx="3">
                  <c:v>0.5375042045072318</c:v>
                </c:pt>
                <c:pt idx="4">
                  <c:v>0.54620514449031443</c:v>
                </c:pt>
                <c:pt idx="5">
                  <c:v>0.51204510507432066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9-4350-BB38-2041EF177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904015"/>
        <c:axId val="1"/>
      </c:barChart>
      <c:catAx>
        <c:axId val="18490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904015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86247457204932"/>
          <c:y val="0.89199531753995109"/>
          <c:w val="0.41836186337867703"/>
          <c:h val="7.202456874316198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44</xdr:row>
      <xdr:rowOff>152400</xdr:rowOff>
    </xdr:from>
    <xdr:to>
      <xdr:col>7</xdr:col>
      <xdr:colOff>266700</xdr:colOff>
      <xdr:row>48</xdr:row>
      <xdr:rowOff>30480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7E19C4F-37AD-43E9-9811-68D530EBB361}"/>
            </a:ext>
          </a:extLst>
        </xdr:cNvPr>
        <xdr:cNvSpPr txBox="1"/>
      </xdr:nvSpPr>
      <xdr:spPr>
        <a:xfrm>
          <a:off x="4297680" y="9296400"/>
          <a:ext cx="2621280" cy="6096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La distance du chi-deux est très nettement supérieure au</a:t>
          </a:r>
          <a:r>
            <a:rPr lang="fr-FR" sz="1100" baseline="0"/>
            <a:t> seuil. On admet donc que les variables sont fortement liées.</a:t>
          </a:r>
          <a:endParaRPr lang="fr-FR" sz="1100"/>
        </a:p>
      </xdr:txBody>
    </xdr:sp>
    <xdr:clientData/>
  </xdr:twoCellAnchor>
  <xdr:twoCellAnchor>
    <xdr:from>
      <xdr:col>6</xdr:col>
      <xdr:colOff>762000</xdr:colOff>
      <xdr:row>49</xdr:row>
      <xdr:rowOff>7620</xdr:rowOff>
    </xdr:from>
    <xdr:to>
      <xdr:col>11</xdr:col>
      <xdr:colOff>556260</xdr:colOff>
      <xdr:row>63</xdr:row>
      <xdr:rowOff>121920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E5AEA16-75F4-4BB3-8804-EBCF72E4D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99060</xdr:colOff>
      <xdr:row>59</xdr:row>
      <xdr:rowOff>175260</xdr:rowOff>
    </xdr:from>
    <xdr:to>
      <xdr:col>6</xdr:col>
      <xdr:colOff>45720</xdr:colOff>
      <xdr:row>66</xdr:row>
      <xdr:rowOff>60960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68DCF28B-CF97-4D21-980C-8FB9C9286F4C}"/>
            </a:ext>
          </a:extLst>
        </xdr:cNvPr>
        <xdr:cNvSpPr txBox="1"/>
      </xdr:nvSpPr>
      <xdr:spPr>
        <a:xfrm>
          <a:off x="99060" y="12131040"/>
          <a:ext cx="5806440" cy="11658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200"/>
            </a:lnSpc>
          </a:pPr>
          <a:r>
            <a:rPr lang="fr-FR" sz="1100"/>
            <a:t>19% de l'échantillon sont des jeunes entre</a:t>
          </a:r>
          <a:r>
            <a:rPr lang="fr-FR" sz="1100" baseline="0"/>
            <a:t> 15 et 24 ans, or on constate que cette répartition n'est pas respectée suivant la durée du chomage. Il y a plus de jeunes sur les petites durées de chomages (25% pour &lt; 3 mois et 25,5%  pour &lt;1 an) et nettement moins sur les longues durées (7,5% pour &gt;2 ans).</a:t>
          </a:r>
        </a:p>
        <a:p>
          <a:pPr>
            <a:lnSpc>
              <a:spcPts val="1200"/>
            </a:lnSpc>
          </a:pPr>
          <a:r>
            <a:rPr lang="fr-FR" sz="1100" baseline="0"/>
            <a:t>A contrario, 13,5% de l'échantillon sont des personnes de plus de 50 ans et on en retrouve 24,6% pour les longues durées.</a:t>
          </a:r>
        </a:p>
      </xdr:txBody>
    </xdr:sp>
    <xdr:clientData/>
  </xdr:twoCellAnchor>
  <xdr:twoCellAnchor>
    <xdr:from>
      <xdr:col>6</xdr:col>
      <xdr:colOff>701040</xdr:colOff>
      <xdr:row>65</xdr:row>
      <xdr:rowOff>106680</xdr:rowOff>
    </xdr:from>
    <xdr:to>
      <xdr:col>11</xdr:col>
      <xdr:colOff>495300</xdr:colOff>
      <xdr:row>78</xdr:row>
      <xdr:rowOff>129540</xdr:rowOff>
    </xdr:to>
    <xdr:graphicFrame macro="">
      <xdr:nvGraphicFramePr>
        <xdr:cNvPr id="5" name="Graphique 5">
          <a:extLst>
            <a:ext uri="{FF2B5EF4-FFF2-40B4-BE49-F238E27FC236}">
              <a16:creationId xmlns:a16="http://schemas.microsoft.com/office/drawing/2014/main" id="{8AC01554-8758-4051-BEB7-32A8335E6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79</xdr:row>
      <xdr:rowOff>0</xdr:rowOff>
    </xdr:from>
    <xdr:to>
      <xdr:col>5</xdr:col>
      <xdr:colOff>739140</xdr:colOff>
      <xdr:row>85</xdr:row>
      <xdr:rowOff>7620</xdr:rowOff>
    </xdr:to>
    <xdr:sp macro="" textlink="">
      <xdr:nvSpPr>
        <xdr:cNvPr id="6" name="ZoneTexte 6">
          <a:extLst>
            <a:ext uri="{FF2B5EF4-FFF2-40B4-BE49-F238E27FC236}">
              <a16:creationId xmlns:a16="http://schemas.microsoft.com/office/drawing/2014/main" id="{B303F5FA-B78D-4A13-A5AF-ED796980F0EA}"/>
            </a:ext>
          </a:extLst>
        </xdr:cNvPr>
        <xdr:cNvSpPr txBox="1"/>
      </xdr:nvSpPr>
      <xdr:spPr>
        <a:xfrm>
          <a:off x="0" y="15956280"/>
          <a:ext cx="5806440" cy="11049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Comme précédemment, on constate</a:t>
          </a:r>
          <a:r>
            <a:rPr lang="fr-FR" sz="1100" baseline="0"/>
            <a:t> un rapprochement entre une durée de chomage courte et les jeunes d'un coté, et un rapprochement entre une durée de chomage longue et les plus de 50 ans d'un autre coté.</a:t>
          </a:r>
        </a:p>
        <a:p>
          <a:r>
            <a:rPr lang="fr-FR" sz="1100"/>
            <a:t>Par exemple,</a:t>
          </a:r>
          <a:r>
            <a:rPr lang="fr-FR" sz="1100" baseline="0"/>
            <a:t> 20% de l'échantillon est au chomage depuis plus de 2 ans. Cette proportion descend à 7,7% chez les jeunes entre 15 et 24 ans et monte à 36,7% chez les plus de 50 ans.</a:t>
          </a:r>
          <a:endParaRPr lang="fr-FR" sz="1100"/>
        </a:p>
      </xdr:txBody>
    </xdr:sp>
    <xdr:clientData/>
  </xdr:twoCellAnchor>
  <xdr:twoCellAnchor>
    <xdr:from>
      <xdr:col>3</xdr:col>
      <xdr:colOff>149859</xdr:colOff>
      <xdr:row>121</xdr:row>
      <xdr:rowOff>81279</xdr:rowOff>
    </xdr:from>
    <xdr:to>
      <xdr:col>5</xdr:col>
      <xdr:colOff>504574</xdr:colOff>
      <xdr:row>126</xdr:row>
      <xdr:rowOff>1062</xdr:rowOff>
    </xdr:to>
    <xdr:sp macro="" textlink="">
      <xdr:nvSpPr>
        <xdr:cNvPr id="7" name="ZoneTexte 1">
          <a:extLst>
            <a:ext uri="{FF2B5EF4-FFF2-40B4-BE49-F238E27FC236}">
              <a16:creationId xmlns:a16="http://schemas.microsoft.com/office/drawing/2014/main" id="{63A1EF0D-AA67-495A-AE25-AE6EFE3FA7FA}"/>
            </a:ext>
          </a:extLst>
        </xdr:cNvPr>
        <xdr:cNvSpPr txBox="1"/>
      </xdr:nvSpPr>
      <xdr:spPr>
        <a:xfrm>
          <a:off x="3632199" y="26835099"/>
          <a:ext cx="1939675" cy="84180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fr-FR" sz="1100"/>
            <a:t>La distance du chi-deux est</a:t>
          </a:r>
          <a:r>
            <a:rPr lang="fr-FR" sz="1100" baseline="0"/>
            <a:t> légèrement</a:t>
          </a:r>
          <a:r>
            <a:rPr lang="fr-FR" sz="1100"/>
            <a:t> supérieure  au</a:t>
          </a:r>
          <a:r>
            <a:rPr lang="fr-FR" sz="1100" baseline="0"/>
            <a:t> seuil. On admet donc que les variables sont faiblement liées.</a:t>
          </a:r>
          <a:endParaRPr lang="fr-FR" sz="1100"/>
        </a:p>
      </xdr:txBody>
    </xdr:sp>
    <xdr:clientData/>
  </xdr:twoCellAnchor>
  <xdr:twoCellAnchor>
    <xdr:from>
      <xdr:col>0</xdr:col>
      <xdr:colOff>91440</xdr:colOff>
      <xdr:row>136</xdr:row>
      <xdr:rowOff>167641</xdr:rowOff>
    </xdr:from>
    <xdr:to>
      <xdr:col>4</xdr:col>
      <xdr:colOff>38100</xdr:colOff>
      <xdr:row>140</xdr:row>
      <xdr:rowOff>128011</xdr:rowOff>
    </xdr:to>
    <xdr:sp macro="" textlink="">
      <xdr:nvSpPr>
        <xdr:cNvPr id="8" name="ZoneTexte 3">
          <a:extLst>
            <a:ext uri="{FF2B5EF4-FFF2-40B4-BE49-F238E27FC236}">
              <a16:creationId xmlns:a16="http://schemas.microsoft.com/office/drawing/2014/main" id="{2579B523-7E9F-428D-90FF-F7C8998AEA24}"/>
            </a:ext>
          </a:extLst>
        </xdr:cNvPr>
        <xdr:cNvSpPr txBox="1"/>
      </xdr:nvSpPr>
      <xdr:spPr>
        <a:xfrm>
          <a:off x="91440" y="30662881"/>
          <a:ext cx="4221480" cy="6918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900"/>
            </a:lnSpc>
          </a:pPr>
          <a:r>
            <a:rPr lang="fr-FR" sz="1100" baseline="0"/>
            <a:t>D'après le graphique des profils lignes, on peut déduire qu'il n'y a pas des modalités de la durée du chômage qui s'écartent du profil moyen.</a:t>
          </a:r>
        </a:p>
      </xdr:txBody>
    </xdr:sp>
    <xdr:clientData/>
  </xdr:twoCellAnchor>
  <xdr:twoCellAnchor>
    <xdr:from>
      <xdr:col>0</xdr:col>
      <xdr:colOff>0</xdr:colOff>
      <xdr:row>160</xdr:row>
      <xdr:rowOff>38100</xdr:rowOff>
    </xdr:from>
    <xdr:to>
      <xdr:col>3</xdr:col>
      <xdr:colOff>700941</xdr:colOff>
      <xdr:row>166</xdr:row>
      <xdr:rowOff>45720</xdr:rowOff>
    </xdr:to>
    <xdr:sp macro="" textlink="">
      <xdr:nvSpPr>
        <xdr:cNvPr id="9" name="ZoneTexte 5">
          <a:extLst>
            <a:ext uri="{FF2B5EF4-FFF2-40B4-BE49-F238E27FC236}">
              <a16:creationId xmlns:a16="http://schemas.microsoft.com/office/drawing/2014/main" id="{95D2919C-6A43-46E5-A0B5-26D69FEF459E}"/>
            </a:ext>
          </a:extLst>
        </xdr:cNvPr>
        <xdr:cNvSpPr txBox="1"/>
      </xdr:nvSpPr>
      <xdr:spPr>
        <a:xfrm>
          <a:off x="0" y="35768280"/>
          <a:ext cx="4183281" cy="11049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200"/>
            </a:lnSpc>
          </a:pPr>
          <a:r>
            <a:rPr lang="fr-FR" sz="1100"/>
            <a:t>Comme précédemment, on constate</a:t>
          </a:r>
          <a:r>
            <a:rPr lang="fr-FR" sz="1100" baseline="0"/>
            <a:t> des valeurs proches du profil colonne moyen. Ce qui confirme notre conclusion que les deux variables sont limites liées. </a:t>
          </a:r>
          <a:endParaRPr lang="fr-FR" sz="1100"/>
        </a:p>
      </xdr:txBody>
    </xdr:sp>
    <xdr:clientData/>
  </xdr:twoCellAnchor>
  <xdr:twoCellAnchor>
    <xdr:from>
      <xdr:col>4</xdr:col>
      <xdr:colOff>106680</xdr:colOff>
      <xdr:row>127</xdr:row>
      <xdr:rowOff>0</xdr:rowOff>
    </xdr:from>
    <xdr:to>
      <xdr:col>8</xdr:col>
      <xdr:colOff>457200</xdr:colOff>
      <xdr:row>140</xdr:row>
      <xdr:rowOff>160020</xdr:rowOff>
    </xdr:to>
    <xdr:graphicFrame macro="">
      <xdr:nvGraphicFramePr>
        <xdr:cNvPr id="10" name="Graphique 13">
          <a:extLst>
            <a:ext uri="{FF2B5EF4-FFF2-40B4-BE49-F238E27FC236}">
              <a16:creationId xmlns:a16="http://schemas.microsoft.com/office/drawing/2014/main" id="{122857F3-5C7A-42B3-88D3-BD875E856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149859</xdr:colOff>
      <xdr:row>120</xdr:row>
      <xdr:rowOff>81279</xdr:rowOff>
    </xdr:from>
    <xdr:to>
      <xdr:col>5</xdr:col>
      <xdr:colOff>504574</xdr:colOff>
      <xdr:row>125</xdr:row>
      <xdr:rowOff>1062</xdr:rowOff>
    </xdr:to>
    <xdr:sp macro="" textlink="">
      <xdr:nvSpPr>
        <xdr:cNvPr id="11" name="ZoneTexte 1">
          <a:extLst>
            <a:ext uri="{FF2B5EF4-FFF2-40B4-BE49-F238E27FC236}">
              <a16:creationId xmlns:a16="http://schemas.microsoft.com/office/drawing/2014/main" id="{6E95C187-46CA-4DD0-9C13-468F1B3349ED}"/>
            </a:ext>
          </a:extLst>
        </xdr:cNvPr>
        <xdr:cNvSpPr txBox="1"/>
      </xdr:nvSpPr>
      <xdr:spPr>
        <a:xfrm>
          <a:off x="3632199" y="26499819"/>
          <a:ext cx="1939675" cy="98658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fr-FR" sz="1100"/>
            <a:t>La distance du chi-deux est</a:t>
          </a:r>
          <a:r>
            <a:rPr lang="fr-FR" sz="1100" baseline="0"/>
            <a:t> légèrement</a:t>
          </a:r>
          <a:r>
            <a:rPr lang="fr-FR" sz="1100"/>
            <a:t> supérieure  au</a:t>
          </a:r>
          <a:r>
            <a:rPr lang="fr-FR" sz="1100" baseline="0"/>
            <a:t> seuil. On admet donc que les variables sont faiblement liées.</a:t>
          </a:r>
          <a:endParaRPr lang="fr-FR" sz="1100"/>
        </a:p>
      </xdr:txBody>
    </xdr:sp>
    <xdr:clientData/>
  </xdr:twoCellAnchor>
  <xdr:twoCellAnchor>
    <xdr:from>
      <xdr:col>0</xdr:col>
      <xdr:colOff>91440</xdr:colOff>
      <xdr:row>135</xdr:row>
      <xdr:rowOff>167641</xdr:rowOff>
    </xdr:from>
    <xdr:to>
      <xdr:col>4</xdr:col>
      <xdr:colOff>38100</xdr:colOff>
      <xdr:row>139</xdr:row>
      <xdr:rowOff>128011</xdr:rowOff>
    </xdr:to>
    <xdr:sp macro="" textlink="">
      <xdr:nvSpPr>
        <xdr:cNvPr id="12" name="ZoneTexte 3">
          <a:extLst>
            <a:ext uri="{FF2B5EF4-FFF2-40B4-BE49-F238E27FC236}">
              <a16:creationId xmlns:a16="http://schemas.microsoft.com/office/drawing/2014/main" id="{A93DE835-3702-4213-A7E7-792EF64573AC}"/>
            </a:ext>
          </a:extLst>
        </xdr:cNvPr>
        <xdr:cNvSpPr txBox="1"/>
      </xdr:nvSpPr>
      <xdr:spPr>
        <a:xfrm>
          <a:off x="91440" y="30480001"/>
          <a:ext cx="4221480" cy="6918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900"/>
            </a:lnSpc>
          </a:pPr>
          <a:r>
            <a:rPr lang="fr-FR" sz="1100" baseline="0"/>
            <a:t>D'après le graphique des profils lignes, on peut déduire qu'il n'y a pas des modalités de la durée du chômage qui s'écartent du profil moyen.</a:t>
          </a:r>
        </a:p>
      </xdr:txBody>
    </xdr:sp>
    <xdr:clientData/>
  </xdr:twoCellAnchor>
  <xdr:twoCellAnchor>
    <xdr:from>
      <xdr:col>0</xdr:col>
      <xdr:colOff>0</xdr:colOff>
      <xdr:row>159</xdr:row>
      <xdr:rowOff>38100</xdr:rowOff>
    </xdr:from>
    <xdr:to>
      <xdr:col>3</xdr:col>
      <xdr:colOff>700941</xdr:colOff>
      <xdr:row>165</xdr:row>
      <xdr:rowOff>45720</xdr:rowOff>
    </xdr:to>
    <xdr:sp macro="" textlink="">
      <xdr:nvSpPr>
        <xdr:cNvPr id="13" name="ZoneTexte 5">
          <a:extLst>
            <a:ext uri="{FF2B5EF4-FFF2-40B4-BE49-F238E27FC236}">
              <a16:creationId xmlns:a16="http://schemas.microsoft.com/office/drawing/2014/main" id="{3B70E4FF-6575-42B0-9B8E-0718ADE279C3}"/>
            </a:ext>
          </a:extLst>
        </xdr:cNvPr>
        <xdr:cNvSpPr txBox="1"/>
      </xdr:nvSpPr>
      <xdr:spPr>
        <a:xfrm>
          <a:off x="0" y="35585400"/>
          <a:ext cx="4183281" cy="11049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200"/>
            </a:lnSpc>
          </a:pPr>
          <a:r>
            <a:rPr lang="fr-FR" sz="1100"/>
            <a:t>Comme précédemment, on constate</a:t>
          </a:r>
          <a:r>
            <a:rPr lang="fr-FR" sz="1100" baseline="0"/>
            <a:t> des valeurs proches du profil colonne moyen. Ce qui confirme notre conclusion que les deux variables sont limites liées. </a:t>
          </a:r>
          <a:endParaRPr lang="fr-FR" sz="1100"/>
        </a:p>
      </xdr:txBody>
    </xdr:sp>
    <xdr:clientData/>
  </xdr:twoCellAnchor>
  <xdr:twoCellAnchor>
    <xdr:from>
      <xdr:col>4</xdr:col>
      <xdr:colOff>106680</xdr:colOff>
      <xdr:row>126</xdr:row>
      <xdr:rowOff>0</xdr:rowOff>
    </xdr:from>
    <xdr:to>
      <xdr:col>8</xdr:col>
      <xdr:colOff>457200</xdr:colOff>
      <xdr:row>139</xdr:row>
      <xdr:rowOff>160020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5EACDE7E-060F-4D12-9BC8-4FBBD6DBA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Y-Paris/Semestre%201/Data%20Exploration/Qualitatif%20x%20Qualitatif/Correction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Y-Paris/Semestre%201/Data%20Exploration/Qualitatif%20x%20Qualitatif/ING1_GI_DataExp_TP6_Bivarie_QualQual_Correc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o 1"/>
      <sheetName val="Exo 2"/>
      <sheetName val="Feuil3"/>
      <sheetName val="Compatibility Report"/>
    </sheetNames>
    <sheetDataSet>
      <sheetData sheetId="0"/>
      <sheetData sheetId="1">
        <row r="53">
          <cell r="C53" t="str">
            <v>15-24</v>
          </cell>
          <cell r="D53" t="str">
            <v>25-49</v>
          </cell>
          <cell r="E53" t="str">
            <v>50 et +</v>
          </cell>
        </row>
        <row r="54">
          <cell r="B54" t="str">
            <v>Non renseigné</v>
          </cell>
          <cell r="C54">
            <v>0.23021582733812951</v>
          </cell>
          <cell r="D54">
            <v>0.63309352517985606</v>
          </cell>
          <cell r="E54">
            <v>0.13669064748201437</v>
          </cell>
        </row>
        <row r="55">
          <cell r="B55" t="str">
            <v>Moins de 3 mois</v>
          </cell>
          <cell r="C55">
            <v>0.25082995204721509</v>
          </cell>
          <cell r="D55">
            <v>0.67299889339727037</v>
          </cell>
          <cell r="E55">
            <v>7.617115455551457E-2</v>
          </cell>
        </row>
        <row r="56">
          <cell r="B56" t="str">
            <v>De 3 mois à 1 an</v>
          </cell>
          <cell r="C56">
            <v>0.25555278263039682</v>
          </cell>
          <cell r="D56">
            <v>0.65468762998086671</v>
          </cell>
          <cell r="E56">
            <v>8.9759587388736378E-2</v>
          </cell>
        </row>
        <row r="57">
          <cell r="B57" t="str">
            <v>De 1 an à moins de 2 ans</v>
          </cell>
          <cell r="C57">
            <v>0.13992600067272115</v>
          </cell>
          <cell r="D57">
            <v>0.69576185671039348</v>
          </cell>
          <cell r="E57">
            <v>0.16431214261688529</v>
          </cell>
        </row>
        <row r="58">
          <cell r="B58" t="str">
            <v>2 ans et plus</v>
          </cell>
          <cell r="C58">
            <v>7.4944426802159431E-2</v>
          </cell>
          <cell r="D58">
            <v>0.67862813591616389</v>
          </cell>
          <cell r="E58">
            <v>0.24642743728167671</v>
          </cell>
        </row>
        <row r="59">
          <cell r="B59" t="str">
            <v>Profil ligne moyen</v>
          </cell>
          <cell r="C59">
            <v>0.19502819067145055</v>
          </cell>
          <cell r="D59">
            <v>0.66946437724243968</v>
          </cell>
          <cell r="E59">
            <v>0.13550743208610966</v>
          </cell>
        </row>
        <row r="72">
          <cell r="C72" t="str">
            <v>15-24</v>
          </cell>
          <cell r="D72" t="str">
            <v>25-49</v>
          </cell>
          <cell r="E72" t="str">
            <v>50 et +</v>
          </cell>
          <cell r="F72" t="str">
            <v>Profil moyen colonne</v>
          </cell>
        </row>
        <row r="73">
          <cell r="B73" t="str">
            <v>Non renseigné</v>
          </cell>
          <cell r="C73">
            <v>5.7818659658344283E-2</v>
          </cell>
          <cell r="D73">
            <v>4.6320222030816344E-2</v>
          </cell>
          <cell r="E73">
            <v>4.9408983451536638E-2</v>
          </cell>
          <cell r="F73">
            <v>4.8981291645310093E-2</v>
          </cell>
        </row>
        <row r="74">
          <cell r="B74" t="str">
            <v>Moins de 3 mois</v>
          </cell>
          <cell r="C74">
            <v>0.22339027595269381</v>
          </cell>
          <cell r="D74">
            <v>0.17461001052732317</v>
          </cell>
          <cell r="E74">
            <v>9.763593380614656E-2</v>
          </cell>
          <cell r="F74">
            <v>0.17369297796002048</v>
          </cell>
        </row>
        <row r="75">
          <cell r="B75" t="str">
            <v>De 3 mois à 1 an</v>
          </cell>
          <cell r="C75">
            <v>0.504599211563732</v>
          </cell>
          <cell r="D75">
            <v>0.37659106134558329</v>
          </cell>
          <cell r="E75">
            <v>0.25508274231678491</v>
          </cell>
          <cell r="F75">
            <v>0.38509097898513583</v>
          </cell>
        </row>
        <row r="76">
          <cell r="B76" t="str">
            <v>De 1 an à moins de 2 ans</v>
          </cell>
          <cell r="C76">
            <v>0.13666228646517739</v>
          </cell>
          <cell r="D76">
            <v>0.19796152741889173</v>
          </cell>
          <cell r="E76">
            <v>0.23096926713947991</v>
          </cell>
          <cell r="F76">
            <v>0.19047924141465913</v>
          </cell>
        </row>
        <row r="77">
          <cell r="B77" t="str">
            <v>2 ans et plus</v>
          </cell>
          <cell r="C77">
            <v>7.7529566360052565E-2</v>
          </cell>
          <cell r="D77">
            <v>0.20451717867738536</v>
          </cell>
          <cell r="E77">
            <v>0.36690307328605198</v>
          </cell>
          <cell r="F77">
            <v>0.20175550999487435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o 1"/>
      <sheetName val="Exo 2"/>
      <sheetName val="Exo2 Question4"/>
    </sheetNames>
    <sheetDataSet>
      <sheetData sheetId="0"/>
      <sheetData sheetId="1"/>
      <sheetData sheetId="2">
        <row r="41">
          <cell r="B41" t="str">
            <v>Sexe</v>
          </cell>
        </row>
        <row r="42">
          <cell r="B42" t="str">
            <v>Homme</v>
          </cell>
          <cell r="C42" t="str">
            <v>Femme</v>
          </cell>
        </row>
        <row r="43">
          <cell r="A43" t="str">
            <v>Non renseigné</v>
          </cell>
          <cell r="B43">
            <v>0.57096141268803147</v>
          </cell>
          <cell r="C43">
            <v>0.42903858731196864</v>
          </cell>
        </row>
        <row r="44">
          <cell r="A44" t="str">
            <v>Moins de 3 mois</v>
          </cell>
          <cell r="B44">
            <v>0.50959055699004052</v>
          </cell>
          <cell r="C44">
            <v>0.49040944300995937</v>
          </cell>
        </row>
        <row r="45">
          <cell r="A45" t="str">
            <v>De 3 mois à 1 an</v>
          </cell>
          <cell r="B45">
            <v>0.49812827551784378</v>
          </cell>
          <cell r="C45">
            <v>0.50187172448215622</v>
          </cell>
        </row>
        <row r="46">
          <cell r="A46" t="str">
            <v>De 1 an à moins de 2 ans</v>
          </cell>
          <cell r="B46">
            <v>0.4624957954927682</v>
          </cell>
          <cell r="C46">
            <v>0.5375042045072318</v>
          </cell>
        </row>
        <row r="47">
          <cell r="A47" t="str">
            <v>2 ans et plus</v>
          </cell>
          <cell r="B47">
            <v>0.45379485550968568</v>
          </cell>
          <cell r="C47">
            <v>0.54620514449031443</v>
          </cell>
        </row>
        <row r="48">
          <cell r="A48" t="str">
            <v>Profil ligne moyen</v>
          </cell>
          <cell r="B48">
            <v>0.48795489492567912</v>
          </cell>
          <cell r="C48">
            <v>0.51204510507432066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6"/>
  <sheetViews>
    <sheetView tabSelected="1" topLeftCell="A94" workbookViewId="0">
      <selection activeCell="A88" sqref="A88"/>
    </sheetView>
  </sheetViews>
  <sheetFormatPr defaultColWidth="11.5546875" defaultRowHeight="14.4" x14ac:dyDescent="0.3"/>
  <cols>
    <col min="2" max="2" width="27.6640625" customWidth="1"/>
    <col min="8" max="8" width="23.44140625" customWidth="1"/>
    <col min="258" max="258" width="27.6640625" customWidth="1"/>
    <col min="264" max="264" width="23.44140625" customWidth="1"/>
    <col min="514" max="514" width="27.6640625" customWidth="1"/>
    <col min="520" max="520" width="23.44140625" customWidth="1"/>
    <col min="770" max="770" width="27.6640625" customWidth="1"/>
    <col min="776" max="776" width="23.44140625" customWidth="1"/>
    <col min="1026" max="1026" width="27.6640625" customWidth="1"/>
    <col min="1032" max="1032" width="23.44140625" customWidth="1"/>
    <col min="1282" max="1282" width="27.6640625" customWidth="1"/>
    <col min="1288" max="1288" width="23.44140625" customWidth="1"/>
    <col min="1538" max="1538" width="27.6640625" customWidth="1"/>
    <col min="1544" max="1544" width="23.44140625" customWidth="1"/>
    <col min="1794" max="1794" width="27.6640625" customWidth="1"/>
    <col min="1800" max="1800" width="23.44140625" customWidth="1"/>
    <col min="2050" max="2050" width="27.6640625" customWidth="1"/>
    <col min="2056" max="2056" width="23.44140625" customWidth="1"/>
    <col min="2306" max="2306" width="27.6640625" customWidth="1"/>
    <col min="2312" max="2312" width="23.44140625" customWidth="1"/>
    <col min="2562" max="2562" width="27.6640625" customWidth="1"/>
    <col min="2568" max="2568" width="23.44140625" customWidth="1"/>
    <col min="2818" max="2818" width="27.6640625" customWidth="1"/>
    <col min="2824" max="2824" width="23.44140625" customWidth="1"/>
    <col min="3074" max="3074" width="27.6640625" customWidth="1"/>
    <col min="3080" max="3080" width="23.44140625" customWidth="1"/>
    <col min="3330" max="3330" width="27.6640625" customWidth="1"/>
    <col min="3336" max="3336" width="23.44140625" customWidth="1"/>
    <col min="3586" max="3586" width="27.6640625" customWidth="1"/>
    <col min="3592" max="3592" width="23.44140625" customWidth="1"/>
    <col min="3842" max="3842" width="27.6640625" customWidth="1"/>
    <col min="3848" max="3848" width="23.44140625" customWidth="1"/>
    <col min="4098" max="4098" width="27.6640625" customWidth="1"/>
    <col min="4104" max="4104" width="23.44140625" customWidth="1"/>
    <col min="4354" max="4354" width="27.6640625" customWidth="1"/>
    <col min="4360" max="4360" width="23.44140625" customWidth="1"/>
    <col min="4610" max="4610" width="27.6640625" customWidth="1"/>
    <col min="4616" max="4616" width="23.44140625" customWidth="1"/>
    <col min="4866" max="4866" width="27.6640625" customWidth="1"/>
    <col min="4872" max="4872" width="23.44140625" customWidth="1"/>
    <col min="5122" max="5122" width="27.6640625" customWidth="1"/>
    <col min="5128" max="5128" width="23.44140625" customWidth="1"/>
    <col min="5378" max="5378" width="27.6640625" customWidth="1"/>
    <col min="5384" max="5384" width="23.44140625" customWidth="1"/>
    <col min="5634" max="5634" width="27.6640625" customWidth="1"/>
    <col min="5640" max="5640" width="23.44140625" customWidth="1"/>
    <col min="5890" max="5890" width="27.6640625" customWidth="1"/>
    <col min="5896" max="5896" width="23.44140625" customWidth="1"/>
    <col min="6146" max="6146" width="27.6640625" customWidth="1"/>
    <col min="6152" max="6152" width="23.44140625" customWidth="1"/>
    <col min="6402" max="6402" width="27.6640625" customWidth="1"/>
    <col min="6408" max="6408" width="23.44140625" customWidth="1"/>
    <col min="6658" max="6658" width="27.6640625" customWidth="1"/>
    <col min="6664" max="6664" width="23.44140625" customWidth="1"/>
    <col min="6914" max="6914" width="27.6640625" customWidth="1"/>
    <col min="6920" max="6920" width="23.44140625" customWidth="1"/>
    <col min="7170" max="7170" width="27.6640625" customWidth="1"/>
    <col min="7176" max="7176" width="23.44140625" customWidth="1"/>
    <col min="7426" max="7426" width="27.6640625" customWidth="1"/>
    <col min="7432" max="7432" width="23.44140625" customWidth="1"/>
    <col min="7682" max="7682" width="27.6640625" customWidth="1"/>
    <col min="7688" max="7688" width="23.44140625" customWidth="1"/>
    <col min="7938" max="7938" width="27.6640625" customWidth="1"/>
    <col min="7944" max="7944" width="23.44140625" customWidth="1"/>
    <col min="8194" max="8194" width="27.6640625" customWidth="1"/>
    <col min="8200" max="8200" width="23.44140625" customWidth="1"/>
    <col min="8450" max="8450" width="27.6640625" customWidth="1"/>
    <col min="8456" max="8456" width="23.44140625" customWidth="1"/>
    <col min="8706" max="8706" width="27.6640625" customWidth="1"/>
    <col min="8712" max="8712" width="23.44140625" customWidth="1"/>
    <col min="8962" max="8962" width="27.6640625" customWidth="1"/>
    <col min="8968" max="8968" width="23.44140625" customWidth="1"/>
    <col min="9218" max="9218" width="27.6640625" customWidth="1"/>
    <col min="9224" max="9224" width="23.44140625" customWidth="1"/>
    <col min="9474" max="9474" width="27.6640625" customWidth="1"/>
    <col min="9480" max="9480" width="23.44140625" customWidth="1"/>
    <col min="9730" max="9730" width="27.6640625" customWidth="1"/>
    <col min="9736" max="9736" width="23.44140625" customWidth="1"/>
    <col min="9986" max="9986" width="27.6640625" customWidth="1"/>
    <col min="9992" max="9992" width="23.44140625" customWidth="1"/>
    <col min="10242" max="10242" width="27.6640625" customWidth="1"/>
    <col min="10248" max="10248" width="23.44140625" customWidth="1"/>
    <col min="10498" max="10498" width="27.6640625" customWidth="1"/>
    <col min="10504" max="10504" width="23.44140625" customWidth="1"/>
    <col min="10754" max="10754" width="27.6640625" customWidth="1"/>
    <col min="10760" max="10760" width="23.44140625" customWidth="1"/>
    <col min="11010" max="11010" width="27.6640625" customWidth="1"/>
    <col min="11016" max="11016" width="23.44140625" customWidth="1"/>
    <col min="11266" max="11266" width="27.6640625" customWidth="1"/>
    <col min="11272" max="11272" width="23.44140625" customWidth="1"/>
    <col min="11522" max="11522" width="27.6640625" customWidth="1"/>
    <col min="11528" max="11528" width="23.44140625" customWidth="1"/>
    <col min="11778" max="11778" width="27.6640625" customWidth="1"/>
    <col min="11784" max="11784" width="23.44140625" customWidth="1"/>
    <col min="12034" max="12034" width="27.6640625" customWidth="1"/>
    <col min="12040" max="12040" width="23.44140625" customWidth="1"/>
    <col min="12290" max="12290" width="27.6640625" customWidth="1"/>
    <col min="12296" max="12296" width="23.44140625" customWidth="1"/>
    <col min="12546" max="12546" width="27.6640625" customWidth="1"/>
    <col min="12552" max="12552" width="23.44140625" customWidth="1"/>
    <col min="12802" max="12802" width="27.6640625" customWidth="1"/>
    <col min="12808" max="12808" width="23.44140625" customWidth="1"/>
    <col min="13058" max="13058" width="27.6640625" customWidth="1"/>
    <col min="13064" max="13064" width="23.44140625" customWidth="1"/>
    <col min="13314" max="13314" width="27.6640625" customWidth="1"/>
    <col min="13320" max="13320" width="23.44140625" customWidth="1"/>
    <col min="13570" max="13570" width="27.6640625" customWidth="1"/>
    <col min="13576" max="13576" width="23.44140625" customWidth="1"/>
    <col min="13826" max="13826" width="27.6640625" customWidth="1"/>
    <col min="13832" max="13832" width="23.44140625" customWidth="1"/>
    <col min="14082" max="14082" width="27.6640625" customWidth="1"/>
    <col min="14088" max="14088" width="23.44140625" customWidth="1"/>
    <col min="14338" max="14338" width="27.6640625" customWidth="1"/>
    <col min="14344" max="14344" width="23.44140625" customWidth="1"/>
    <col min="14594" max="14594" width="27.6640625" customWidth="1"/>
    <col min="14600" max="14600" width="23.44140625" customWidth="1"/>
    <col min="14850" max="14850" width="27.6640625" customWidth="1"/>
    <col min="14856" max="14856" width="23.44140625" customWidth="1"/>
    <col min="15106" max="15106" width="27.6640625" customWidth="1"/>
    <col min="15112" max="15112" width="23.44140625" customWidth="1"/>
    <col min="15362" max="15362" width="27.6640625" customWidth="1"/>
    <col min="15368" max="15368" width="23.44140625" customWidth="1"/>
    <col min="15618" max="15618" width="27.6640625" customWidth="1"/>
    <col min="15624" max="15624" width="23.44140625" customWidth="1"/>
    <col min="15874" max="15874" width="27.6640625" customWidth="1"/>
    <col min="15880" max="15880" width="23.44140625" customWidth="1"/>
    <col min="16130" max="16130" width="27.6640625" customWidth="1"/>
    <col min="16136" max="16136" width="23.44140625" customWidth="1"/>
  </cols>
  <sheetData>
    <row r="1" spans="1:12" x14ac:dyDescent="0.3">
      <c r="A1" s="1" t="s">
        <v>0</v>
      </c>
    </row>
    <row r="3" spans="1:12" x14ac:dyDescent="0.3">
      <c r="A3" s="30"/>
      <c r="B3" s="31" t="s">
        <v>1</v>
      </c>
      <c r="C3" s="31"/>
      <c r="D3" s="31"/>
      <c r="E3" s="31"/>
      <c r="F3" s="31"/>
      <c r="G3" s="31"/>
      <c r="H3" s="31"/>
      <c r="I3" s="31"/>
      <c r="J3" s="31"/>
    </row>
    <row r="4" spans="1:12" ht="15" thickBot="1" x14ac:dyDescent="0.35">
      <c r="A4" s="30"/>
      <c r="B4" s="32" t="s">
        <v>2</v>
      </c>
      <c r="C4" s="32"/>
      <c r="D4" s="32"/>
      <c r="E4" s="32"/>
      <c r="F4" s="32"/>
      <c r="G4" s="32"/>
      <c r="H4" s="32"/>
      <c r="I4" s="32"/>
      <c r="J4" s="32"/>
    </row>
    <row r="5" spans="1:12" ht="15" thickBot="1" x14ac:dyDescent="0.35">
      <c r="A5" s="30"/>
      <c r="B5" s="22" t="s">
        <v>3</v>
      </c>
      <c r="C5" s="24" t="s">
        <v>4</v>
      </c>
      <c r="D5" s="25"/>
      <c r="E5" s="25"/>
      <c r="F5" s="27"/>
      <c r="G5" s="33" t="s">
        <v>5</v>
      </c>
      <c r="H5" s="25"/>
      <c r="I5" s="25"/>
      <c r="J5" s="27"/>
    </row>
    <row r="6" spans="1:12" ht="15" thickBot="1" x14ac:dyDescent="0.35">
      <c r="A6" s="30"/>
      <c r="B6" s="23"/>
      <c r="C6" s="2" t="s">
        <v>6</v>
      </c>
      <c r="D6" s="2" t="s">
        <v>7</v>
      </c>
      <c r="E6" s="3" t="s">
        <v>8</v>
      </c>
      <c r="F6" s="2" t="s">
        <v>9</v>
      </c>
      <c r="G6" s="2" t="s">
        <v>6</v>
      </c>
      <c r="H6" s="2" t="s">
        <v>7</v>
      </c>
      <c r="I6" s="3" t="s">
        <v>8</v>
      </c>
      <c r="J6" s="2" t="s">
        <v>9</v>
      </c>
    </row>
    <row r="7" spans="1:12" ht="15" thickBot="1" x14ac:dyDescent="0.35">
      <c r="A7" s="30"/>
      <c r="B7" s="4" t="s">
        <v>10</v>
      </c>
      <c r="C7" s="3">
        <v>19.7</v>
      </c>
      <c r="D7" s="3">
        <v>56.4</v>
      </c>
      <c r="E7" s="3">
        <v>11.2</v>
      </c>
      <c r="F7" s="3">
        <v>87.3</v>
      </c>
      <c r="G7" s="3">
        <v>15.5</v>
      </c>
      <c r="H7" s="3">
        <v>40.4</v>
      </c>
      <c r="I7" s="3">
        <v>9.6999999999999993</v>
      </c>
      <c r="J7" s="3">
        <v>95.6</v>
      </c>
    </row>
    <row r="8" spans="1:12" ht="15" thickBot="1" x14ac:dyDescent="0.35">
      <c r="A8" s="30"/>
      <c r="B8" s="4" t="s">
        <v>11</v>
      </c>
      <c r="C8" s="3">
        <v>71.099999999999994</v>
      </c>
      <c r="D8" s="3">
        <v>182.1</v>
      </c>
      <c r="E8" s="3">
        <v>23.1</v>
      </c>
      <c r="F8" s="3">
        <v>276.3</v>
      </c>
      <c r="G8" s="3">
        <v>64.900000000000006</v>
      </c>
      <c r="H8" s="3">
        <v>182.8</v>
      </c>
      <c r="I8" s="3">
        <v>18.2</v>
      </c>
      <c r="J8" s="3">
        <v>256.89999999999998</v>
      </c>
    </row>
    <row r="9" spans="1:12" ht="15" thickBot="1" x14ac:dyDescent="0.35">
      <c r="A9" s="30"/>
      <c r="B9" s="4" t="s">
        <v>12</v>
      </c>
      <c r="C9" s="3">
        <v>149.9</v>
      </c>
      <c r="D9" s="3">
        <v>391.9</v>
      </c>
      <c r="E9" s="3">
        <v>57</v>
      </c>
      <c r="F9" s="3">
        <v>598.79999999999995</v>
      </c>
      <c r="G9" s="3">
        <v>157.30000000000001</v>
      </c>
      <c r="H9" s="3">
        <v>395.1</v>
      </c>
      <c r="I9" s="3">
        <v>50.9</v>
      </c>
      <c r="J9" s="3">
        <v>603.29999999999995</v>
      </c>
    </row>
    <row r="10" spans="1:12" ht="15" thickBot="1" x14ac:dyDescent="0.35">
      <c r="A10" s="30"/>
      <c r="B10" s="4" t="s">
        <v>13</v>
      </c>
      <c r="C10" s="3">
        <v>36.5</v>
      </c>
      <c r="D10" s="3">
        <v>187</v>
      </c>
      <c r="E10" s="3">
        <v>51.5</v>
      </c>
      <c r="F10" s="3">
        <v>275</v>
      </c>
      <c r="G10" s="3">
        <v>46.7</v>
      </c>
      <c r="H10" s="3">
        <v>226.7</v>
      </c>
      <c r="I10" s="3">
        <v>46.2</v>
      </c>
      <c r="J10" s="3">
        <v>319.60000000000002</v>
      </c>
    </row>
    <row r="11" spans="1:12" ht="15" thickBot="1" x14ac:dyDescent="0.35">
      <c r="A11" s="30"/>
      <c r="B11" s="4" t="s">
        <v>14</v>
      </c>
      <c r="C11" s="3">
        <v>24.4</v>
      </c>
      <c r="D11" s="3">
        <v>181.8</v>
      </c>
      <c r="E11" s="3">
        <v>79.599999999999994</v>
      </c>
      <c r="F11" s="3">
        <v>285.8</v>
      </c>
      <c r="G11" s="3">
        <v>22.8</v>
      </c>
      <c r="H11" s="3">
        <v>245.6</v>
      </c>
      <c r="I11" s="3">
        <v>75.599999999999994</v>
      </c>
      <c r="J11" s="3">
        <v>344</v>
      </c>
    </row>
    <row r="12" spans="1:12" ht="15" thickBot="1" x14ac:dyDescent="0.35">
      <c r="A12" s="30"/>
      <c r="B12" s="4" t="s">
        <v>9</v>
      </c>
      <c r="C12" s="3">
        <v>301.60000000000002</v>
      </c>
      <c r="D12" s="3">
        <v>999.2</v>
      </c>
      <c r="E12" s="3">
        <v>222.4</v>
      </c>
      <c r="F12" s="3">
        <v>1523.2</v>
      </c>
      <c r="G12" s="3">
        <v>307.2</v>
      </c>
      <c r="H12" s="3">
        <v>1120.5999999999999</v>
      </c>
      <c r="I12" s="3">
        <v>200.6</v>
      </c>
      <c r="J12" s="3">
        <v>1628.4</v>
      </c>
    </row>
    <row r="13" spans="1:12" ht="36.6" x14ac:dyDescent="0.7">
      <c r="A13" s="5" t="s">
        <v>15</v>
      </c>
      <c r="B13" s="5"/>
      <c r="C13" s="5"/>
      <c r="D13" s="5"/>
      <c r="J13" s="6"/>
    </row>
    <row r="14" spans="1:12" ht="52.8" x14ac:dyDescent="0.3">
      <c r="A14" s="7" t="s">
        <v>16</v>
      </c>
      <c r="B14" s="11" t="s">
        <v>39</v>
      </c>
    </row>
    <row r="15" spans="1:12" ht="15" thickBot="1" x14ac:dyDescent="0.35">
      <c r="A15" s="1" t="s">
        <v>17</v>
      </c>
      <c r="H15" s="1" t="s">
        <v>18</v>
      </c>
    </row>
    <row r="16" spans="1:12" ht="20.399999999999999" customHeight="1" thickBot="1" x14ac:dyDescent="0.35">
      <c r="B16" s="22" t="s">
        <v>3</v>
      </c>
      <c r="C16" s="24" t="s">
        <v>19</v>
      </c>
      <c r="D16" s="25"/>
      <c r="E16" s="25"/>
      <c r="F16" s="27"/>
      <c r="H16" s="22" t="s">
        <v>3</v>
      </c>
      <c r="I16" s="24" t="s">
        <v>19</v>
      </c>
      <c r="J16" s="25"/>
      <c r="K16" s="25"/>
      <c r="L16" s="27"/>
    </row>
    <row r="17" spans="1:12" ht="20.399999999999999" customHeight="1" thickBot="1" x14ac:dyDescent="0.35">
      <c r="B17" s="23"/>
      <c r="C17" s="2" t="s">
        <v>6</v>
      </c>
      <c r="D17" s="2" t="s">
        <v>7</v>
      </c>
      <c r="E17" s="3" t="s">
        <v>8</v>
      </c>
      <c r="F17" s="8" t="s">
        <v>9</v>
      </c>
      <c r="H17" s="23"/>
      <c r="I17" s="2" t="s">
        <v>6</v>
      </c>
      <c r="J17" s="2" t="s">
        <v>7</v>
      </c>
      <c r="K17" s="3" t="s">
        <v>8</v>
      </c>
      <c r="L17" s="8" t="s">
        <v>9</v>
      </c>
    </row>
    <row r="18" spans="1:12" ht="20.399999999999999" customHeight="1" thickBot="1" x14ac:dyDescent="0.35">
      <c r="B18" s="4" t="s">
        <v>10</v>
      </c>
      <c r="C18" s="3">
        <f t="shared" ref="C18:E22" si="0">C7+G7</f>
        <v>35.200000000000003</v>
      </c>
      <c r="D18" s="3">
        <f t="shared" si="0"/>
        <v>96.8</v>
      </c>
      <c r="E18" s="3">
        <f t="shared" si="0"/>
        <v>20.9</v>
      </c>
      <c r="F18" s="9">
        <f>SUM(C18:E18)</f>
        <v>152.9</v>
      </c>
      <c r="H18" s="4" t="s">
        <v>10</v>
      </c>
      <c r="I18" s="3">
        <f>C18/$F$23</f>
        <v>1.1276268580215274E-2</v>
      </c>
      <c r="J18" s="3">
        <f t="shared" ref="J18:K22" si="1">D18/$F$23</f>
        <v>3.1009738595592001E-2</v>
      </c>
      <c r="K18" s="3">
        <f t="shared" si="1"/>
        <v>6.6952844695028178E-3</v>
      </c>
      <c r="L18" s="9">
        <f>SUM(I18:K18)</f>
        <v>4.8981291645310093E-2</v>
      </c>
    </row>
    <row r="19" spans="1:12" ht="20.399999999999999" customHeight="1" thickBot="1" x14ac:dyDescent="0.35">
      <c r="B19" s="4" t="s">
        <v>11</v>
      </c>
      <c r="C19" s="3">
        <f t="shared" si="0"/>
        <v>136</v>
      </c>
      <c r="D19" s="3">
        <f t="shared" si="0"/>
        <v>364.9</v>
      </c>
      <c r="E19" s="3">
        <f t="shared" si="0"/>
        <v>41.3</v>
      </c>
      <c r="F19" s="9">
        <f>SUM(C19:E19)</f>
        <v>542.19999999999993</v>
      </c>
      <c r="H19" s="4" t="s">
        <v>11</v>
      </c>
      <c r="I19" s="3">
        <f>C19/$F$23</f>
        <v>4.356740133264992E-2</v>
      </c>
      <c r="J19" s="3">
        <f t="shared" si="1"/>
        <v>0.11689518195797025</v>
      </c>
      <c r="K19" s="3">
        <f t="shared" si="1"/>
        <v>1.3230394669400306E-2</v>
      </c>
      <c r="L19" s="9">
        <f>SUM(I19:K19)</f>
        <v>0.17369297796002048</v>
      </c>
    </row>
    <row r="20" spans="1:12" ht="20.399999999999999" customHeight="1" thickBot="1" x14ac:dyDescent="0.35">
      <c r="B20" s="4" t="s">
        <v>12</v>
      </c>
      <c r="C20" s="3">
        <f t="shared" si="0"/>
        <v>307.20000000000005</v>
      </c>
      <c r="D20" s="3">
        <f t="shared" si="0"/>
        <v>787</v>
      </c>
      <c r="E20" s="3">
        <f t="shared" si="0"/>
        <v>107.9</v>
      </c>
      <c r="F20" s="9">
        <f>SUM(C20:E20)</f>
        <v>1202.1000000000001</v>
      </c>
      <c r="H20" s="4" t="s">
        <v>12</v>
      </c>
      <c r="I20" s="3">
        <f>C20/$F$23</f>
        <v>9.8411071245515125E-2</v>
      </c>
      <c r="J20" s="3">
        <f t="shared" si="1"/>
        <v>0.25211430035879034</v>
      </c>
      <c r="K20" s="3">
        <f t="shared" si="1"/>
        <v>3.4565607380830345E-2</v>
      </c>
      <c r="L20" s="9">
        <f>SUM(I20:K20)</f>
        <v>0.38509097898513583</v>
      </c>
    </row>
    <row r="21" spans="1:12" ht="20.399999999999999" customHeight="1" thickBot="1" x14ac:dyDescent="0.35">
      <c r="B21" s="4" t="s">
        <v>13</v>
      </c>
      <c r="C21" s="3">
        <f t="shared" si="0"/>
        <v>83.2</v>
      </c>
      <c r="D21" s="3">
        <f t="shared" si="0"/>
        <v>413.7</v>
      </c>
      <c r="E21" s="3">
        <f t="shared" si="0"/>
        <v>97.7</v>
      </c>
      <c r="F21" s="9">
        <f>SUM(C21:E21)</f>
        <v>594.6</v>
      </c>
      <c r="H21" s="4" t="s">
        <v>13</v>
      </c>
      <c r="I21" s="3">
        <f>C21/$F$23</f>
        <v>2.6652998462327011E-2</v>
      </c>
      <c r="J21" s="3">
        <f t="shared" si="1"/>
        <v>0.13252819067145052</v>
      </c>
      <c r="K21" s="3">
        <f t="shared" si="1"/>
        <v>3.1298052280881596E-2</v>
      </c>
      <c r="L21" s="9">
        <f>SUM(I21:K21)</f>
        <v>0.19047924141465913</v>
      </c>
    </row>
    <row r="22" spans="1:12" ht="20.399999999999999" customHeight="1" thickBot="1" x14ac:dyDescent="0.35">
      <c r="B22" s="4" t="s">
        <v>14</v>
      </c>
      <c r="C22" s="3">
        <f t="shared" si="0"/>
        <v>47.2</v>
      </c>
      <c r="D22" s="3">
        <f t="shared" si="0"/>
        <v>427.4</v>
      </c>
      <c r="E22" s="3">
        <f t="shared" si="0"/>
        <v>155.19999999999999</v>
      </c>
      <c r="F22" s="9">
        <f>SUM(C22:E22)</f>
        <v>629.79999999999995</v>
      </c>
      <c r="H22" s="4" t="s">
        <v>14</v>
      </c>
      <c r="I22" s="3">
        <f>C22/$F$23</f>
        <v>1.5120451050743208E-2</v>
      </c>
      <c r="J22" s="3">
        <f t="shared" si="1"/>
        <v>0.13691696565863656</v>
      </c>
      <c r="K22" s="3">
        <f t="shared" si="1"/>
        <v>4.9718093285494612E-2</v>
      </c>
      <c r="L22" s="9">
        <f>SUM(I22:K22)</f>
        <v>0.20175550999487438</v>
      </c>
    </row>
    <row r="23" spans="1:12" ht="20.399999999999999" customHeight="1" thickBot="1" x14ac:dyDescent="0.35">
      <c r="B23" s="10" t="s">
        <v>9</v>
      </c>
      <c r="C23" s="9">
        <f>SUM(C18:C22)</f>
        <v>608.80000000000007</v>
      </c>
      <c r="D23" s="9">
        <f>SUM(D18:D22)</f>
        <v>2089.8000000000002</v>
      </c>
      <c r="E23" s="9">
        <f>SUM(E18:E22)</f>
        <v>423</v>
      </c>
      <c r="F23" s="9">
        <f>SUM(F18:F22)</f>
        <v>3121.6000000000004</v>
      </c>
      <c r="H23" s="10" t="s">
        <v>9</v>
      </c>
      <c r="I23" s="9">
        <f>SUM(I18:I22)</f>
        <v>0.19502819067145055</v>
      </c>
      <c r="J23" s="9">
        <f>SUM(J18:J22)</f>
        <v>0.66946437724243968</v>
      </c>
      <c r="K23" s="9">
        <f>SUM(K18:K22)</f>
        <v>0.13550743208610969</v>
      </c>
      <c r="L23" s="9">
        <f>SUM(L18:L22)</f>
        <v>0.99999999999999989</v>
      </c>
    </row>
    <row r="25" spans="1:12" ht="15" thickBot="1" x14ac:dyDescent="0.35">
      <c r="A25" s="1" t="s">
        <v>20</v>
      </c>
      <c r="H25" s="1" t="s">
        <v>18</v>
      </c>
    </row>
    <row r="26" spans="1:12" ht="15" thickBot="1" x14ac:dyDescent="0.35">
      <c r="B26" s="22" t="s">
        <v>3</v>
      </c>
      <c r="C26" s="24" t="s">
        <v>19</v>
      </c>
      <c r="D26" s="25"/>
      <c r="E26" s="25"/>
      <c r="F26" s="27"/>
      <c r="H26" s="22" t="s">
        <v>3</v>
      </c>
      <c r="I26" s="24" t="s">
        <v>19</v>
      </c>
      <c r="J26" s="25"/>
      <c r="K26" s="25"/>
      <c r="L26" s="27"/>
    </row>
    <row r="27" spans="1:12" ht="15" thickBot="1" x14ac:dyDescent="0.35">
      <c r="B27" s="23"/>
      <c r="C27" s="2" t="s">
        <v>6</v>
      </c>
      <c r="D27" s="2" t="s">
        <v>7</v>
      </c>
      <c r="E27" s="3" t="s">
        <v>8</v>
      </c>
      <c r="F27" s="8" t="s">
        <v>9</v>
      </c>
      <c r="H27" s="23"/>
      <c r="I27" s="2" t="s">
        <v>6</v>
      </c>
      <c r="J27" s="2" t="s">
        <v>7</v>
      </c>
      <c r="K27" s="3" t="s">
        <v>8</v>
      </c>
      <c r="L27" s="8" t="s">
        <v>9</v>
      </c>
    </row>
    <row r="28" spans="1:12" ht="15" thickBot="1" x14ac:dyDescent="0.35">
      <c r="B28" s="4" t="s">
        <v>10</v>
      </c>
      <c r="C28" s="3">
        <f>I28*$F$23</f>
        <v>29.819810353664792</v>
      </c>
      <c r="D28" s="3">
        <f t="shared" ref="D28:E32" si="2">J28*$F$23</f>
        <v>102.36110328036904</v>
      </c>
      <c r="E28" s="3">
        <f t="shared" si="2"/>
        <v>20.719086365966174</v>
      </c>
      <c r="F28" s="9">
        <f>SUM(C28:E28)</f>
        <v>152.9</v>
      </c>
      <c r="H28" s="4" t="s">
        <v>10</v>
      </c>
      <c r="I28" s="3">
        <f>$L18*I$23</f>
        <v>9.5527326863354654E-3</v>
      </c>
      <c r="J28" s="3">
        <f>$L18*J$23</f>
        <v>3.2791229907857836E-2</v>
      </c>
      <c r="K28" s="3">
        <f>$L18*K$23</f>
        <v>6.6373290511167896E-3</v>
      </c>
      <c r="L28" s="9">
        <f>SUM(I28:K28)</f>
        <v>4.8981291645310093E-2</v>
      </c>
    </row>
    <row r="29" spans="1:12" ht="15" thickBot="1" x14ac:dyDescent="0.35">
      <c r="B29" s="4" t="s">
        <v>11</v>
      </c>
      <c r="C29" s="3">
        <f>I29*$F$23</f>
        <v>105.74428498206048</v>
      </c>
      <c r="D29" s="3">
        <f t="shared" si="2"/>
        <v>362.98358534085077</v>
      </c>
      <c r="E29" s="3">
        <f t="shared" si="2"/>
        <v>73.472129677088674</v>
      </c>
      <c r="F29" s="9">
        <f>SUM(C29:E29)</f>
        <v>542.19999999999993</v>
      </c>
      <c r="H29" s="4" t="s">
        <v>11</v>
      </c>
      <c r="I29" s="3">
        <f t="shared" ref="I29:K32" si="3">$L19*I$23</f>
        <v>3.3875027223878931E-2</v>
      </c>
      <c r="J29" s="3">
        <f t="shared" si="3"/>
        <v>0.11628126132138991</v>
      </c>
      <c r="K29" s="3">
        <f t="shared" si="3"/>
        <v>2.3536689414751621E-2</v>
      </c>
      <c r="L29" s="9">
        <f>SUM(I29:K29)</f>
        <v>0.17369297796002048</v>
      </c>
    </row>
    <row r="30" spans="1:12" ht="15" thickBot="1" x14ac:dyDescent="0.35">
      <c r="B30" s="4" t="s">
        <v>12</v>
      </c>
      <c r="C30" s="3">
        <f>I30*$F$23</f>
        <v>234.44338800615074</v>
      </c>
      <c r="D30" s="3">
        <f t="shared" si="2"/>
        <v>804.7631278831368</v>
      </c>
      <c r="E30" s="3">
        <f t="shared" si="2"/>
        <v>162.89348411071248</v>
      </c>
      <c r="F30" s="9">
        <f>SUM(C30:E30)</f>
        <v>1202.1000000000001</v>
      </c>
      <c r="H30" s="4" t="s">
        <v>12</v>
      </c>
      <c r="I30" s="3">
        <f t="shared" si="3"/>
        <v>7.5103596875368633E-2</v>
      </c>
      <c r="J30" s="3">
        <f t="shared" si="3"/>
        <v>0.25780469242796539</v>
      </c>
      <c r="K30" s="3">
        <f t="shared" si="3"/>
        <v>5.2182689681801786E-2</v>
      </c>
      <c r="L30" s="9">
        <f>SUM(I30:K30)</f>
        <v>0.38509097898513583</v>
      </c>
    </row>
    <row r="31" spans="1:12" ht="15" thickBot="1" x14ac:dyDescent="0.35">
      <c r="B31" s="4" t="s">
        <v>13</v>
      </c>
      <c r="C31" s="3">
        <f>I31*$F$23</f>
        <v>115.9637621732445</v>
      </c>
      <c r="D31" s="3">
        <f t="shared" si="2"/>
        <v>398.06351870835465</v>
      </c>
      <c r="E31" s="3">
        <f t="shared" si="2"/>
        <v>80.572719118400826</v>
      </c>
      <c r="F31" s="9">
        <f>SUM(C31:E31)</f>
        <v>594.6</v>
      </c>
      <c r="H31" s="4" t="s">
        <v>13</v>
      </c>
      <c r="I31" s="3">
        <f t="shared" si="3"/>
        <v>3.7148821813571403E-2</v>
      </c>
      <c r="J31" s="3">
        <f t="shared" si="3"/>
        <v>0.12751906673127711</v>
      </c>
      <c r="K31" s="3">
        <f t="shared" si="3"/>
        <v>2.5811352869810615E-2</v>
      </c>
      <c r="L31" s="9">
        <f>SUM(I31:K31)</f>
        <v>0.19047924141465913</v>
      </c>
    </row>
    <row r="32" spans="1:12" ht="15" thickBot="1" x14ac:dyDescent="0.35">
      <c r="B32" s="4" t="s">
        <v>14</v>
      </c>
      <c r="C32" s="3">
        <f>I32*$F$23</f>
        <v>122.82875448487954</v>
      </c>
      <c r="D32" s="3">
        <f t="shared" si="2"/>
        <v>421.62866478728847</v>
      </c>
      <c r="E32" s="3">
        <f t="shared" si="2"/>
        <v>85.342580727831873</v>
      </c>
      <c r="F32" s="9">
        <f>SUM(C32:E32)</f>
        <v>629.79999999999984</v>
      </c>
      <c r="H32" s="4" t="s">
        <v>14</v>
      </c>
      <c r="I32" s="3">
        <f t="shared" si="3"/>
        <v>3.9348012072296108E-2</v>
      </c>
      <c r="J32" s="3">
        <f t="shared" si="3"/>
        <v>0.13506812685394939</v>
      </c>
      <c r="K32" s="3">
        <f t="shared" si="3"/>
        <v>2.7339371068628864E-2</v>
      </c>
      <c r="L32" s="9">
        <f>SUM(I32:K32)</f>
        <v>0.20175550999487435</v>
      </c>
    </row>
    <row r="33" spans="1:12" ht="15" thickBot="1" x14ac:dyDescent="0.35">
      <c r="B33" s="10" t="s">
        <v>9</v>
      </c>
      <c r="C33" s="9">
        <f>SUM(C28:C32)</f>
        <v>608.79999999999995</v>
      </c>
      <c r="D33" s="9">
        <f>SUM(D28:D32)</f>
        <v>2089.7999999999997</v>
      </c>
      <c r="E33" s="9">
        <f>SUM(E28:E32)</f>
        <v>423.00000000000006</v>
      </c>
      <c r="F33" s="9">
        <f>SUM(F28:F32)</f>
        <v>3121.6</v>
      </c>
      <c r="H33" s="10" t="s">
        <v>9</v>
      </c>
      <c r="I33" s="9">
        <f>SUM(I28:I32)</f>
        <v>0.19502819067145055</v>
      </c>
      <c r="J33" s="9">
        <f>SUM(J28:J32)</f>
        <v>0.66946437724243968</v>
      </c>
      <c r="K33" s="9">
        <f>SUM(K28:K32)</f>
        <v>0.13550743208610966</v>
      </c>
      <c r="L33" s="9">
        <f>SUM(L28:L32)</f>
        <v>0.99999999999999989</v>
      </c>
    </row>
    <row r="36" spans="1:12" ht="15" thickBot="1" x14ac:dyDescent="0.35">
      <c r="A36" s="1" t="s">
        <v>21</v>
      </c>
    </row>
    <row r="37" spans="1:12" ht="15" thickBot="1" x14ac:dyDescent="0.35">
      <c r="B37" s="22" t="s">
        <v>3</v>
      </c>
      <c r="C37" s="24" t="s">
        <v>19</v>
      </c>
      <c r="D37" s="25"/>
      <c r="E37" s="26"/>
    </row>
    <row r="38" spans="1:12" ht="15" thickBot="1" x14ac:dyDescent="0.35">
      <c r="B38" s="23"/>
      <c r="C38" s="2" t="s">
        <v>6</v>
      </c>
      <c r="D38" s="2" t="s">
        <v>7</v>
      </c>
      <c r="E38" s="3" t="s">
        <v>8</v>
      </c>
    </row>
    <row r="39" spans="1:12" ht="15" thickBot="1" x14ac:dyDescent="0.35">
      <c r="B39" s="4" t="s">
        <v>10</v>
      </c>
      <c r="C39" s="3">
        <f>(C18-C28)^2/C28</f>
        <v>0.97071176131658876</v>
      </c>
      <c r="D39" s="3">
        <f>(D18-D28)^2/D28</f>
        <v>0.30212520873504789</v>
      </c>
      <c r="E39" s="3">
        <f>(E18-E28)^2/E28</f>
        <v>1.5796904555158199E-3</v>
      </c>
    </row>
    <row r="40" spans="1:12" ht="15" thickBot="1" x14ac:dyDescent="0.35">
      <c r="B40" s="4" t="s">
        <v>11</v>
      </c>
      <c r="C40" s="3">
        <f t="shared" ref="C40:E43" si="4">(C19-C29)^2/C29</f>
        <v>8.656811017276917</v>
      </c>
      <c r="D40" s="3">
        <f t="shared" si="4"/>
        <v>1.0117937268026268E-2</v>
      </c>
      <c r="E40" s="3">
        <f t="shared" si="4"/>
        <v>14.087599372829606</v>
      </c>
    </row>
    <row r="41" spans="1:12" ht="15" thickBot="1" x14ac:dyDescent="0.35">
      <c r="B41" s="4" t="s">
        <v>12</v>
      </c>
      <c r="C41" s="3">
        <f t="shared" si="4"/>
        <v>22.579116578389741</v>
      </c>
      <c r="D41" s="3">
        <f t="shared" si="4"/>
        <v>0.39207650209154649</v>
      </c>
      <c r="E41" s="3">
        <f t="shared" si="4"/>
        <v>18.566017610499969</v>
      </c>
    </row>
    <row r="42" spans="1:12" ht="15" thickBot="1" x14ac:dyDescent="0.35">
      <c r="B42" s="4" t="s">
        <v>13</v>
      </c>
      <c r="C42" s="3">
        <f t="shared" si="4"/>
        <v>9.2568927708745896</v>
      </c>
      <c r="D42" s="3">
        <f t="shared" si="4"/>
        <v>0.61422244363746836</v>
      </c>
      <c r="E42" s="3">
        <f t="shared" si="4"/>
        <v>3.6407329131604316</v>
      </c>
    </row>
    <row r="43" spans="1:12" ht="15" thickBot="1" x14ac:dyDescent="0.35">
      <c r="B43" s="4" t="s">
        <v>14</v>
      </c>
      <c r="C43" s="3">
        <f t="shared" si="4"/>
        <v>46.566526941688515</v>
      </c>
      <c r="D43" s="3">
        <f t="shared" si="4"/>
        <v>7.8999159495685131E-2</v>
      </c>
      <c r="E43" s="3">
        <f t="shared" si="4"/>
        <v>57.181995033998348</v>
      </c>
    </row>
    <row r="45" spans="1:12" x14ac:dyDescent="0.3">
      <c r="B45" s="11" t="s">
        <v>22</v>
      </c>
      <c r="C45" s="12">
        <f>SUM(C39:E43)</f>
        <v>182.905524941718</v>
      </c>
    </row>
    <row r="46" spans="1:12" x14ac:dyDescent="0.3">
      <c r="B46" s="11" t="s">
        <v>23</v>
      </c>
      <c r="C46">
        <f>(5-1)*(3-1)</f>
        <v>8</v>
      </c>
    </row>
    <row r="47" spans="1:12" x14ac:dyDescent="0.3">
      <c r="B47" s="11" t="s">
        <v>24</v>
      </c>
      <c r="C47">
        <v>15.51</v>
      </c>
    </row>
    <row r="50" spans="1:6" x14ac:dyDescent="0.3">
      <c r="A50" s="7" t="s">
        <v>25</v>
      </c>
    </row>
    <row r="51" spans="1:6" ht="15" thickBot="1" x14ac:dyDescent="0.35">
      <c r="A51" s="1" t="s">
        <v>26</v>
      </c>
    </row>
    <row r="52" spans="1:6" ht="15" thickBot="1" x14ac:dyDescent="0.35">
      <c r="B52" s="22" t="s">
        <v>3</v>
      </c>
      <c r="C52" s="24" t="s">
        <v>19</v>
      </c>
      <c r="D52" s="25"/>
      <c r="E52" s="25"/>
      <c r="F52" s="27"/>
    </row>
    <row r="53" spans="1:6" ht="15" thickBot="1" x14ac:dyDescent="0.35">
      <c r="B53" s="23"/>
      <c r="C53" s="2" t="s">
        <v>6</v>
      </c>
      <c r="D53" s="2" t="s">
        <v>7</v>
      </c>
      <c r="E53" s="3" t="s">
        <v>8</v>
      </c>
      <c r="F53" s="13" t="s">
        <v>9</v>
      </c>
    </row>
    <row r="54" spans="1:6" ht="15" thickBot="1" x14ac:dyDescent="0.35">
      <c r="B54" s="4" t="s">
        <v>10</v>
      </c>
      <c r="C54" s="3">
        <f t="shared" ref="C54:E58" si="5">C18/$F18</f>
        <v>0.23021582733812951</v>
      </c>
      <c r="D54" s="3">
        <f t="shared" si="5"/>
        <v>0.63309352517985606</v>
      </c>
      <c r="E54" s="3">
        <f t="shared" si="5"/>
        <v>0.13669064748201437</v>
      </c>
      <c r="F54" s="14">
        <f>SUM(C54:E54)</f>
        <v>1</v>
      </c>
    </row>
    <row r="55" spans="1:6" ht="15" thickBot="1" x14ac:dyDescent="0.35">
      <c r="B55" s="4" t="s">
        <v>11</v>
      </c>
      <c r="C55" s="3">
        <f t="shared" si="5"/>
        <v>0.25082995204721509</v>
      </c>
      <c r="D55" s="3">
        <f t="shared" si="5"/>
        <v>0.67299889339727037</v>
      </c>
      <c r="E55" s="3">
        <f t="shared" si="5"/>
        <v>7.617115455551457E-2</v>
      </c>
      <c r="F55" s="14">
        <f>SUM(C55:E55)</f>
        <v>1</v>
      </c>
    </row>
    <row r="56" spans="1:6" ht="15" thickBot="1" x14ac:dyDescent="0.35">
      <c r="B56" s="4" t="s">
        <v>12</v>
      </c>
      <c r="C56" s="3">
        <f t="shared" si="5"/>
        <v>0.25555278263039682</v>
      </c>
      <c r="D56" s="3">
        <f t="shared" si="5"/>
        <v>0.65468762998086671</v>
      </c>
      <c r="E56" s="3">
        <f t="shared" si="5"/>
        <v>8.9759587388736378E-2</v>
      </c>
      <c r="F56" s="14">
        <f>SUM(C56:E56)</f>
        <v>0.99999999999999989</v>
      </c>
    </row>
    <row r="57" spans="1:6" ht="15" thickBot="1" x14ac:dyDescent="0.35">
      <c r="B57" s="4" t="s">
        <v>13</v>
      </c>
      <c r="C57" s="3">
        <f t="shared" si="5"/>
        <v>0.13992600067272115</v>
      </c>
      <c r="D57" s="3">
        <f t="shared" si="5"/>
        <v>0.69576185671039348</v>
      </c>
      <c r="E57" s="3">
        <f t="shared" si="5"/>
        <v>0.16431214261688529</v>
      </c>
      <c r="F57" s="14">
        <f>SUM(C57:E57)</f>
        <v>0.99999999999999989</v>
      </c>
    </row>
    <row r="58" spans="1:6" ht="15" thickBot="1" x14ac:dyDescent="0.35">
      <c r="B58" s="4" t="s">
        <v>14</v>
      </c>
      <c r="C58" s="3">
        <f>C22/$F22</f>
        <v>7.4944426802159431E-2</v>
      </c>
      <c r="D58" s="3">
        <f t="shared" si="5"/>
        <v>0.67862813591616389</v>
      </c>
      <c r="E58" s="3">
        <f t="shared" si="5"/>
        <v>0.24642743728167671</v>
      </c>
      <c r="F58" s="14">
        <f>SUM(C58:E58)</f>
        <v>1</v>
      </c>
    </row>
    <row r="59" spans="1:6" ht="15" thickBot="1" x14ac:dyDescent="0.35">
      <c r="B59" s="10" t="s">
        <v>27</v>
      </c>
      <c r="C59" s="9">
        <f>I33</f>
        <v>0.19502819067145055</v>
      </c>
      <c r="D59" s="9">
        <f>J33</f>
        <v>0.66946437724243968</v>
      </c>
      <c r="E59" s="9">
        <f>K33</f>
        <v>0.13550743208610966</v>
      </c>
      <c r="F59" s="14">
        <v>1</v>
      </c>
    </row>
    <row r="69" spans="1:6" x14ac:dyDescent="0.3">
      <c r="A69" s="7" t="s">
        <v>28</v>
      </c>
    </row>
    <row r="70" spans="1:6" ht="15" thickBot="1" x14ac:dyDescent="0.35">
      <c r="A70" s="1" t="s">
        <v>29</v>
      </c>
    </row>
    <row r="71" spans="1:6" ht="15" thickBot="1" x14ac:dyDescent="0.35">
      <c r="B71" s="22" t="s">
        <v>3</v>
      </c>
      <c r="C71" s="24" t="s">
        <v>19</v>
      </c>
      <c r="D71" s="25"/>
      <c r="E71" s="25"/>
      <c r="F71" s="27"/>
    </row>
    <row r="72" spans="1:6" ht="40.799999999999997" thickBot="1" x14ac:dyDescent="0.35">
      <c r="B72" s="23"/>
      <c r="C72" s="2" t="s">
        <v>6</v>
      </c>
      <c r="D72" s="2" t="s">
        <v>7</v>
      </c>
      <c r="E72" s="3" t="s">
        <v>8</v>
      </c>
      <c r="F72" s="8" t="s">
        <v>30</v>
      </c>
    </row>
    <row r="73" spans="1:6" ht="15" thickBot="1" x14ac:dyDescent="0.35">
      <c r="B73" s="4" t="s">
        <v>10</v>
      </c>
      <c r="C73" s="3">
        <f>C18/C$23</f>
        <v>5.7818659658344283E-2</v>
      </c>
      <c r="D73" s="3">
        <f>D18/D$23</f>
        <v>4.6320222030816344E-2</v>
      </c>
      <c r="E73" s="3">
        <f>E18/E$23</f>
        <v>4.9408983451536638E-2</v>
      </c>
      <c r="F73" s="9">
        <f>L28</f>
        <v>4.8981291645310093E-2</v>
      </c>
    </row>
    <row r="74" spans="1:6" ht="15" thickBot="1" x14ac:dyDescent="0.35">
      <c r="B74" s="4" t="s">
        <v>11</v>
      </c>
      <c r="C74" s="3">
        <f t="shared" ref="C74:E77" si="6">C19/C$23</f>
        <v>0.22339027595269381</v>
      </c>
      <c r="D74" s="3">
        <f t="shared" si="6"/>
        <v>0.17461001052732317</v>
      </c>
      <c r="E74" s="3">
        <f t="shared" si="6"/>
        <v>9.763593380614656E-2</v>
      </c>
      <c r="F74" s="9">
        <f>L29</f>
        <v>0.17369297796002048</v>
      </c>
    </row>
    <row r="75" spans="1:6" ht="15" thickBot="1" x14ac:dyDescent="0.35">
      <c r="B75" s="4" t="s">
        <v>12</v>
      </c>
      <c r="C75" s="3">
        <f t="shared" si="6"/>
        <v>0.504599211563732</v>
      </c>
      <c r="D75" s="3">
        <f t="shared" si="6"/>
        <v>0.37659106134558329</v>
      </c>
      <c r="E75" s="3">
        <f t="shared" si="6"/>
        <v>0.25508274231678491</v>
      </c>
      <c r="F75" s="9">
        <f>L30</f>
        <v>0.38509097898513583</v>
      </c>
    </row>
    <row r="76" spans="1:6" ht="15" thickBot="1" x14ac:dyDescent="0.35">
      <c r="B76" s="4" t="s">
        <v>13</v>
      </c>
      <c r="C76" s="3">
        <f t="shared" si="6"/>
        <v>0.13666228646517739</v>
      </c>
      <c r="D76" s="3">
        <f t="shared" si="6"/>
        <v>0.19796152741889173</v>
      </c>
      <c r="E76" s="3">
        <f t="shared" si="6"/>
        <v>0.23096926713947991</v>
      </c>
      <c r="F76" s="9">
        <f>L31</f>
        <v>0.19047924141465913</v>
      </c>
    </row>
    <row r="77" spans="1:6" ht="15" thickBot="1" x14ac:dyDescent="0.35">
      <c r="B77" s="4" t="s">
        <v>14</v>
      </c>
      <c r="C77" s="3">
        <f t="shared" si="6"/>
        <v>7.7529566360052565E-2</v>
      </c>
      <c r="D77" s="3">
        <f t="shared" si="6"/>
        <v>0.20451717867738536</v>
      </c>
      <c r="E77" s="3">
        <f t="shared" si="6"/>
        <v>0.36690307328605198</v>
      </c>
      <c r="F77" s="9">
        <f>L32</f>
        <v>0.20175550999487435</v>
      </c>
    </row>
    <row r="78" spans="1:6" s="15" customFormat="1" ht="10.8" thickBot="1" x14ac:dyDescent="0.25">
      <c r="B78" s="16" t="s">
        <v>9</v>
      </c>
      <c r="C78" s="14">
        <f>SUM(C73:C77)</f>
        <v>1</v>
      </c>
      <c r="D78" s="14">
        <f>SUM(D73:D77)</f>
        <v>0.99999999999999989</v>
      </c>
      <c r="E78" s="14">
        <f>SUM(E73:E77)</f>
        <v>1</v>
      </c>
      <c r="F78" s="14">
        <f>SUM(F73:F77)</f>
        <v>0.99999999999999989</v>
      </c>
    </row>
    <row r="87" spans="1:9" ht="36.6" x14ac:dyDescent="0.7">
      <c r="A87" s="5" t="s">
        <v>31</v>
      </c>
      <c r="B87" s="5"/>
      <c r="C87" s="5"/>
    </row>
    <row r="88" spans="1:9" x14ac:dyDescent="0.3">
      <c r="A88" t="s">
        <v>40</v>
      </c>
    </row>
    <row r="90" spans="1:9" ht="15" thickBot="1" x14ac:dyDescent="0.35">
      <c r="A90" s="1" t="s">
        <v>32</v>
      </c>
      <c r="F90" s="1" t="s">
        <v>18</v>
      </c>
    </row>
    <row r="91" spans="1:9" ht="15" thickBot="1" x14ac:dyDescent="0.35">
      <c r="A91" s="22" t="s">
        <v>3</v>
      </c>
      <c r="B91" s="24" t="s">
        <v>33</v>
      </c>
      <c r="C91" s="25"/>
      <c r="D91" s="27"/>
      <c r="F91" s="22" t="s">
        <v>3</v>
      </c>
      <c r="G91" s="24" t="s">
        <v>33</v>
      </c>
      <c r="H91" s="25"/>
      <c r="I91" s="27"/>
    </row>
    <row r="92" spans="1:9" ht="15" customHeight="1" thickBot="1" x14ac:dyDescent="0.35">
      <c r="A92" s="23"/>
      <c r="B92" s="2" t="s">
        <v>34</v>
      </c>
      <c r="C92" s="2" t="s">
        <v>35</v>
      </c>
      <c r="D92" s="8" t="s">
        <v>9</v>
      </c>
      <c r="F92" s="23"/>
      <c r="G92" s="2" t="s">
        <v>34</v>
      </c>
      <c r="H92" s="2" t="s">
        <v>35</v>
      </c>
      <c r="I92" s="8" t="s">
        <v>9</v>
      </c>
    </row>
    <row r="93" spans="1:9" ht="27" thickBot="1" x14ac:dyDescent="0.35">
      <c r="A93" s="4" t="s">
        <v>10</v>
      </c>
      <c r="B93" s="3">
        <v>87.3</v>
      </c>
      <c r="C93" s="3">
        <v>65.599999999999994</v>
      </c>
      <c r="D93" s="9">
        <f t="shared" ref="D93:D98" si="7">SUM(B93:C93)</f>
        <v>152.89999999999998</v>
      </c>
      <c r="F93" s="4" t="s">
        <v>10</v>
      </c>
      <c r="G93" s="3">
        <f t="shared" ref="G93:H97" si="8">B93/$D$12</f>
        <v>8.7369895916733387E-2</v>
      </c>
      <c r="H93" s="3">
        <f t="shared" si="8"/>
        <v>6.5652522017614082E-2</v>
      </c>
      <c r="I93" s="9">
        <f>SUM(G93:H93)</f>
        <v>0.15302241793434745</v>
      </c>
    </row>
    <row r="94" spans="1:9" ht="27" thickBot="1" x14ac:dyDescent="0.35">
      <c r="A94" s="4" t="s">
        <v>11</v>
      </c>
      <c r="B94" s="3">
        <v>276.3</v>
      </c>
      <c r="C94" s="3">
        <v>265.89999999999998</v>
      </c>
      <c r="D94" s="9">
        <f t="shared" si="7"/>
        <v>542.20000000000005</v>
      </c>
      <c r="F94" s="4" t="s">
        <v>11</v>
      </c>
      <c r="G94" s="3">
        <f t="shared" si="8"/>
        <v>0.27652121697357884</v>
      </c>
      <c r="H94" s="3">
        <f t="shared" si="8"/>
        <v>0.26611289031224977</v>
      </c>
      <c r="I94" s="9">
        <f>SUM(G94:H94)</f>
        <v>0.54263410728582862</v>
      </c>
    </row>
    <row r="95" spans="1:9" ht="27" thickBot="1" x14ac:dyDescent="0.35">
      <c r="A95" s="4" t="s">
        <v>12</v>
      </c>
      <c r="B95" s="3">
        <v>598.79999999999995</v>
      </c>
      <c r="C95" s="3">
        <v>603.29999999999995</v>
      </c>
      <c r="D95" s="9">
        <f t="shared" si="7"/>
        <v>1202.0999999999999</v>
      </c>
      <c r="F95" s="4" t="s">
        <v>12</v>
      </c>
      <c r="G95" s="3">
        <f t="shared" si="8"/>
        <v>0.59927942353883101</v>
      </c>
      <c r="H95" s="3">
        <f t="shared" si="8"/>
        <v>0.60378302642113679</v>
      </c>
      <c r="I95" s="9">
        <f>SUM(G95:H95)</f>
        <v>1.2030624499599678</v>
      </c>
    </row>
    <row r="96" spans="1:9" ht="40.200000000000003" thickBot="1" x14ac:dyDescent="0.35">
      <c r="A96" s="4" t="s">
        <v>13</v>
      </c>
      <c r="B96" s="3">
        <v>275</v>
      </c>
      <c r="C96" s="3">
        <v>319.60000000000002</v>
      </c>
      <c r="D96" s="9">
        <f t="shared" si="7"/>
        <v>594.6</v>
      </c>
      <c r="F96" s="4" t="s">
        <v>13</v>
      </c>
      <c r="G96" s="3">
        <f t="shared" si="8"/>
        <v>0.27522017614091271</v>
      </c>
      <c r="H96" s="3">
        <f t="shared" si="8"/>
        <v>0.31985588470776621</v>
      </c>
      <c r="I96" s="9">
        <f>SUM(G96:H96)</f>
        <v>0.59507606084867892</v>
      </c>
    </row>
    <row r="97" spans="1:9" ht="15" thickBot="1" x14ac:dyDescent="0.35">
      <c r="A97" s="4" t="s">
        <v>14</v>
      </c>
      <c r="B97" s="3">
        <v>285.8</v>
      </c>
      <c r="C97" s="3">
        <v>344</v>
      </c>
      <c r="D97" s="9">
        <f t="shared" si="7"/>
        <v>629.79999999999995</v>
      </c>
      <c r="F97" s="4" t="s">
        <v>14</v>
      </c>
      <c r="G97" s="3">
        <f t="shared" si="8"/>
        <v>0.28602882305844674</v>
      </c>
      <c r="H97" s="3">
        <f t="shared" si="8"/>
        <v>0.34427542033626901</v>
      </c>
      <c r="I97" s="9">
        <f>SUM(G97:H97)</f>
        <v>0.63030424339471569</v>
      </c>
    </row>
    <row r="98" spans="1:9" ht="15" thickBot="1" x14ac:dyDescent="0.35">
      <c r="A98" s="10" t="s">
        <v>9</v>
      </c>
      <c r="B98" s="9">
        <v>1523.2</v>
      </c>
      <c r="C98" s="1">
        <f>SUM(C93:C97)</f>
        <v>1598.4</v>
      </c>
      <c r="D98" s="9">
        <f t="shared" si="7"/>
        <v>3121.6000000000004</v>
      </c>
      <c r="F98" s="10" t="s">
        <v>9</v>
      </c>
      <c r="G98" s="9">
        <f>SUM(G93:G97)</f>
        <v>1.5244195356285026</v>
      </c>
      <c r="H98" s="9">
        <f>SUM(H93:H97)</f>
        <v>1.5996797437950359</v>
      </c>
      <c r="I98" s="9">
        <f>SUM(I93:I97)</f>
        <v>3.1240992794235387</v>
      </c>
    </row>
    <row r="101" spans="1:9" ht="27" thickBot="1" x14ac:dyDescent="0.35">
      <c r="A101" s="17" t="s">
        <v>20</v>
      </c>
      <c r="F101" s="1" t="s">
        <v>36</v>
      </c>
    </row>
    <row r="102" spans="1:9" ht="15" thickBot="1" x14ac:dyDescent="0.35">
      <c r="A102" s="22" t="s">
        <v>3</v>
      </c>
      <c r="B102" s="24" t="s">
        <v>33</v>
      </c>
      <c r="C102" s="25"/>
      <c r="D102" s="27"/>
      <c r="F102" s="22" t="s">
        <v>3</v>
      </c>
      <c r="G102" s="24" t="s">
        <v>33</v>
      </c>
      <c r="H102" s="25"/>
      <c r="I102" s="27"/>
    </row>
    <row r="103" spans="1:9" ht="15" customHeight="1" thickBot="1" x14ac:dyDescent="0.35">
      <c r="A103" s="23"/>
      <c r="B103" s="2" t="s">
        <v>34</v>
      </c>
      <c r="C103" s="2" t="s">
        <v>35</v>
      </c>
      <c r="D103" s="8" t="s">
        <v>9</v>
      </c>
      <c r="F103" s="23"/>
      <c r="G103" s="2" t="s">
        <v>34</v>
      </c>
      <c r="H103" s="2" t="s">
        <v>35</v>
      </c>
      <c r="I103" s="8" t="s">
        <v>9</v>
      </c>
    </row>
    <row r="104" spans="1:9" ht="27" thickBot="1" x14ac:dyDescent="0.35">
      <c r="A104" s="4" t="s">
        <v>10</v>
      </c>
      <c r="B104" s="3">
        <f>$G104*D$12</f>
        <v>46970.87999999999</v>
      </c>
      <c r="C104" s="3">
        <f>H104*D$12</f>
        <v>171339.73999999996</v>
      </c>
      <c r="D104" s="9">
        <f>SUM(B104:C104)</f>
        <v>218310.61999999994</v>
      </c>
      <c r="F104" s="4" t="s">
        <v>10</v>
      </c>
      <c r="G104" s="3">
        <f t="shared" ref="G104:H108" si="9">$I93*G$12</f>
        <v>47.008486789431537</v>
      </c>
      <c r="H104" s="3">
        <f t="shared" si="9"/>
        <v>171.47692153722974</v>
      </c>
      <c r="I104" s="9">
        <f>SUM(G104:H104)</f>
        <v>218.48540832666129</v>
      </c>
    </row>
    <row r="105" spans="1:9" ht="27" thickBot="1" x14ac:dyDescent="0.35">
      <c r="A105" s="4" t="s">
        <v>11</v>
      </c>
      <c r="B105" s="3">
        <f>G105*D$12</f>
        <v>166563.84</v>
      </c>
      <c r="C105" s="3">
        <f>H105*D$12</f>
        <v>607589.31999999995</v>
      </c>
      <c r="D105" s="9">
        <f>SUM(B105:C105)</f>
        <v>774153.15999999992</v>
      </c>
      <c r="F105" s="4" t="s">
        <v>11</v>
      </c>
      <c r="G105" s="3">
        <f t="shared" si="9"/>
        <v>166.69719775820656</v>
      </c>
      <c r="H105" s="3">
        <f t="shared" si="9"/>
        <v>608.07578062449954</v>
      </c>
      <c r="I105" s="9">
        <f>SUM(G105:H105)</f>
        <v>774.77297838270613</v>
      </c>
    </row>
    <row r="106" spans="1:9" ht="27" thickBot="1" x14ac:dyDescent="0.35">
      <c r="A106" s="4" t="s">
        <v>12</v>
      </c>
      <c r="B106" s="3">
        <f>G106*D$12</f>
        <v>369285.11999999994</v>
      </c>
      <c r="C106" s="3">
        <f>H106*D$12</f>
        <v>1347073.2599999998</v>
      </c>
      <c r="D106" s="9">
        <f>SUM(B106:C106)</f>
        <v>1716358.3799999997</v>
      </c>
      <c r="F106" s="4" t="s">
        <v>12</v>
      </c>
      <c r="G106" s="3">
        <f t="shared" si="9"/>
        <v>369.58078462770209</v>
      </c>
      <c r="H106" s="3">
        <f t="shared" si="9"/>
        <v>1348.1517814251399</v>
      </c>
      <c r="I106" s="9">
        <f>SUM(G106:H106)</f>
        <v>1717.732566052842</v>
      </c>
    </row>
    <row r="107" spans="1:9" ht="40.200000000000003" thickBot="1" x14ac:dyDescent="0.35">
      <c r="A107" s="4" t="s">
        <v>13</v>
      </c>
      <c r="B107" s="3">
        <f>G107*D$12</f>
        <v>182661.12</v>
      </c>
      <c r="C107" s="3">
        <f>H107*D$12</f>
        <v>666308.75999999989</v>
      </c>
      <c r="D107" s="9">
        <f>SUM(B107:C107)</f>
        <v>848969.87999999989</v>
      </c>
      <c r="F107" s="4" t="s">
        <v>13</v>
      </c>
      <c r="G107" s="3">
        <f t="shared" si="9"/>
        <v>182.80736589271416</v>
      </c>
      <c r="H107" s="3">
        <f t="shared" si="9"/>
        <v>666.8422337870295</v>
      </c>
      <c r="I107" s="9">
        <f>SUM(G107:H107)</f>
        <v>849.64959967974369</v>
      </c>
    </row>
    <row r="108" spans="1:9" ht="15" thickBot="1" x14ac:dyDescent="0.35">
      <c r="A108" s="4" t="s">
        <v>14</v>
      </c>
      <c r="B108" s="3">
        <f>G108*D$12</f>
        <v>193474.55999999997</v>
      </c>
      <c r="C108" s="3">
        <f>H108*D$12</f>
        <v>705753.87999999989</v>
      </c>
      <c r="D108" s="9">
        <f>SUM(B108:C108)</f>
        <v>899228.43999999983</v>
      </c>
      <c r="F108" s="4" t="s">
        <v>14</v>
      </c>
      <c r="G108" s="3">
        <f t="shared" si="9"/>
        <v>193.62946357085664</v>
      </c>
      <c r="H108" s="3">
        <f t="shared" si="9"/>
        <v>706.31893514811838</v>
      </c>
      <c r="I108" s="9">
        <f>SUM(G108:H108)</f>
        <v>899.948398718975</v>
      </c>
    </row>
    <row r="109" spans="1:9" ht="15" thickBot="1" x14ac:dyDescent="0.35">
      <c r="A109" s="10" t="s">
        <v>9</v>
      </c>
      <c r="B109" s="9">
        <f>SUM(B104:B108)</f>
        <v>958955.51999999979</v>
      </c>
      <c r="C109" s="9">
        <f>SUM(C104:C108)</f>
        <v>3498064.9599999995</v>
      </c>
      <c r="D109" s="9">
        <f>SUM(D104:D108)</f>
        <v>4457020.4799999986</v>
      </c>
      <c r="F109" s="10" t="s">
        <v>9</v>
      </c>
      <c r="G109" s="9">
        <f>SUM(G104:G108)</f>
        <v>959.72329863891105</v>
      </c>
      <c r="H109" s="9">
        <f>SUM(H104:H108)</f>
        <v>3500.8656525220172</v>
      </c>
      <c r="I109" s="9">
        <f>SUM(I104:I108)</f>
        <v>4460.5889511609284</v>
      </c>
    </row>
    <row r="112" spans="1:9" ht="15" thickBot="1" x14ac:dyDescent="0.35"/>
    <row r="113" spans="1:6" ht="15" thickBot="1" x14ac:dyDescent="0.35">
      <c r="A113" s="22" t="s">
        <v>3</v>
      </c>
      <c r="B113" s="24" t="s">
        <v>33</v>
      </c>
      <c r="C113" s="25"/>
      <c r="D113" s="26"/>
    </row>
    <row r="114" spans="1:6" ht="15" customHeight="1" thickBot="1" x14ac:dyDescent="0.35">
      <c r="A114" s="23"/>
      <c r="B114" s="2" t="s">
        <v>34</v>
      </c>
      <c r="C114" s="2" t="s">
        <v>35</v>
      </c>
      <c r="D114" s="9" t="s">
        <v>9</v>
      </c>
    </row>
    <row r="115" spans="1:6" ht="27" thickBot="1" x14ac:dyDescent="0.35">
      <c r="A115" s="4" t="s">
        <v>10</v>
      </c>
      <c r="B115" s="3">
        <f t="shared" ref="B115:C119" si="10">(B93-B104)^2/B104</f>
        <v>46796.442255635819</v>
      </c>
      <c r="C115" s="3">
        <f t="shared" si="10"/>
        <v>171208.56511594795</v>
      </c>
      <c r="D115" s="3">
        <f>SUM(B115:C115)</f>
        <v>218005.00737158378</v>
      </c>
    </row>
    <row r="116" spans="1:6" ht="27" thickBot="1" x14ac:dyDescent="0.35">
      <c r="A116" s="4" t="s">
        <v>11</v>
      </c>
      <c r="B116" s="3">
        <f t="shared" si="10"/>
        <v>166011.6983329131</v>
      </c>
      <c r="C116" s="3">
        <f t="shared" si="10"/>
        <v>607057.63636611716</v>
      </c>
      <c r="D116" s="3">
        <f>SUM(B116:C116)</f>
        <v>773069.33469903027</v>
      </c>
    </row>
    <row r="117" spans="1:6" ht="27" thickBot="1" x14ac:dyDescent="0.35">
      <c r="A117" s="4" t="s">
        <v>12</v>
      </c>
      <c r="B117" s="3">
        <f t="shared" si="10"/>
        <v>368088.49096097454</v>
      </c>
      <c r="C117" s="3">
        <f t="shared" si="10"/>
        <v>1345866.9301938345</v>
      </c>
      <c r="D117" s="3">
        <f>SUM(B117:C117)</f>
        <v>1713955.421154809</v>
      </c>
    </row>
    <row r="118" spans="1:6" ht="40.200000000000003" thickBot="1" x14ac:dyDescent="0.35">
      <c r="A118" s="4" t="s">
        <v>13</v>
      </c>
      <c r="B118" s="3">
        <f t="shared" si="10"/>
        <v>182111.53401804611</v>
      </c>
      <c r="C118" s="3">
        <f t="shared" si="10"/>
        <v>665669.71329853975</v>
      </c>
      <c r="D118" s="3">
        <f>SUM(B118:C118)</f>
        <v>847781.24731658585</v>
      </c>
    </row>
    <row r="119" spans="1:6" ht="15" thickBot="1" x14ac:dyDescent="0.35">
      <c r="A119" s="4" t="s">
        <v>14</v>
      </c>
      <c r="B119" s="3">
        <f t="shared" si="10"/>
        <v>192903.3821828441</v>
      </c>
      <c r="C119" s="3">
        <f t="shared" si="10"/>
        <v>705066.04767318361</v>
      </c>
      <c r="D119" s="3">
        <f>SUM(B119:C119)</f>
        <v>897969.42985602771</v>
      </c>
    </row>
    <row r="120" spans="1:6" x14ac:dyDescent="0.3">
      <c r="D120" s="18">
        <f>SUM(D115:D119)</f>
        <v>4450780.4403980365</v>
      </c>
    </row>
    <row r="121" spans="1:6" ht="26.4" x14ac:dyDescent="0.3">
      <c r="A121" s="11" t="s">
        <v>22</v>
      </c>
      <c r="B121" s="12">
        <f>SUM(B115:C119)</f>
        <v>4450780.4403980365</v>
      </c>
    </row>
    <row r="122" spans="1:6" x14ac:dyDescent="0.3">
      <c r="A122" s="11" t="s">
        <v>23</v>
      </c>
      <c r="B122">
        <f>(5-1)*(2-1)</f>
        <v>4</v>
      </c>
    </row>
    <row r="123" spans="1:6" x14ac:dyDescent="0.3">
      <c r="A123" s="11" t="s">
        <v>24</v>
      </c>
      <c r="B123">
        <v>9.49</v>
      </c>
    </row>
    <row r="124" spans="1:6" x14ac:dyDescent="0.3">
      <c r="F124" t="s">
        <v>37</v>
      </c>
    </row>
    <row r="125" spans="1:6" x14ac:dyDescent="0.3">
      <c r="A125" s="19" t="s">
        <v>26</v>
      </c>
    </row>
    <row r="126" spans="1:6" ht="15" thickBot="1" x14ac:dyDescent="0.35"/>
    <row r="127" spans="1:6" ht="15" thickBot="1" x14ac:dyDescent="0.35">
      <c r="A127" s="22" t="s">
        <v>3</v>
      </c>
      <c r="B127" s="24" t="s">
        <v>33</v>
      </c>
      <c r="C127" s="25"/>
      <c r="D127" s="27"/>
    </row>
    <row r="128" spans="1:6" ht="15" customHeight="1" thickBot="1" x14ac:dyDescent="0.35">
      <c r="A128" s="23"/>
      <c r="B128" s="2" t="s">
        <v>34</v>
      </c>
      <c r="C128" s="2" t="s">
        <v>35</v>
      </c>
      <c r="D128" s="20"/>
    </row>
    <row r="129" spans="1:4" ht="27" thickBot="1" x14ac:dyDescent="0.35">
      <c r="A129" s="4" t="s">
        <v>10</v>
      </c>
      <c r="B129" s="3">
        <f t="shared" ref="B129:C133" si="11">B93/$D93</f>
        <v>0.57096141268803147</v>
      </c>
      <c r="C129" s="3">
        <f t="shared" si="11"/>
        <v>0.42903858731196864</v>
      </c>
      <c r="D129" s="14"/>
    </row>
    <row r="130" spans="1:4" ht="27" thickBot="1" x14ac:dyDescent="0.35">
      <c r="A130" s="4" t="s">
        <v>11</v>
      </c>
      <c r="B130" s="3">
        <f t="shared" si="11"/>
        <v>0.50959055699004052</v>
      </c>
      <c r="C130" s="3">
        <f t="shared" si="11"/>
        <v>0.49040944300995937</v>
      </c>
      <c r="D130" s="14"/>
    </row>
    <row r="131" spans="1:4" ht="27" thickBot="1" x14ac:dyDescent="0.35">
      <c r="A131" s="4" t="s">
        <v>12</v>
      </c>
      <c r="B131" s="3">
        <f t="shared" si="11"/>
        <v>0.49812827551784378</v>
      </c>
      <c r="C131" s="3">
        <f t="shared" si="11"/>
        <v>0.50187172448215622</v>
      </c>
      <c r="D131" s="14"/>
    </row>
    <row r="132" spans="1:4" ht="40.200000000000003" thickBot="1" x14ac:dyDescent="0.35">
      <c r="A132" s="4" t="s">
        <v>13</v>
      </c>
      <c r="B132" s="3">
        <f t="shared" si="11"/>
        <v>0.4624957954927682</v>
      </c>
      <c r="C132" s="3">
        <f t="shared" si="11"/>
        <v>0.5375042045072318</v>
      </c>
      <c r="D132" s="14"/>
    </row>
    <row r="133" spans="1:4" ht="15" thickBot="1" x14ac:dyDescent="0.35">
      <c r="A133" s="4" t="s">
        <v>14</v>
      </c>
      <c r="B133" s="3">
        <f t="shared" si="11"/>
        <v>0.45379485550968568</v>
      </c>
      <c r="C133" s="3">
        <f t="shared" si="11"/>
        <v>0.54620514449031443</v>
      </c>
      <c r="D133" s="14"/>
    </row>
    <row r="134" spans="1:4" ht="27" thickBot="1" x14ac:dyDescent="0.35">
      <c r="A134" s="10" t="s">
        <v>27</v>
      </c>
      <c r="B134" s="9">
        <f>G109</f>
        <v>959.72329863891105</v>
      </c>
      <c r="C134" s="9">
        <f>H109</f>
        <v>3500.8656525220172</v>
      </c>
      <c r="D134" s="14"/>
    </row>
    <row r="148" spans="1:9" ht="15" thickBot="1" x14ac:dyDescent="0.35">
      <c r="A148" s="21" t="s">
        <v>29</v>
      </c>
    </row>
    <row r="149" spans="1:9" ht="15" thickBot="1" x14ac:dyDescent="0.35">
      <c r="A149" s="28" t="s">
        <v>3</v>
      </c>
      <c r="B149" s="24" t="s">
        <v>33</v>
      </c>
      <c r="C149" s="25"/>
      <c r="D149" s="27"/>
      <c r="I149" s="15"/>
    </row>
    <row r="150" spans="1:9" ht="15" customHeight="1" thickBot="1" x14ac:dyDescent="0.35">
      <c r="A150" s="29"/>
      <c r="B150" s="2" t="s">
        <v>34</v>
      </c>
      <c r="C150" s="2" t="s">
        <v>35</v>
      </c>
      <c r="D150" s="8" t="s">
        <v>38</v>
      </c>
    </row>
    <row r="151" spans="1:9" ht="27" thickBot="1" x14ac:dyDescent="0.35">
      <c r="A151" s="4" t="s">
        <v>10</v>
      </c>
      <c r="B151" s="3" t="e">
        <f>B93/B$12</f>
        <v>#VALUE!</v>
      </c>
      <c r="C151" s="3">
        <f>C93/C$12</f>
        <v>0.21750663129973472</v>
      </c>
      <c r="D151" s="9">
        <f>I104</f>
        <v>218.48540832666129</v>
      </c>
    </row>
    <row r="152" spans="1:9" ht="27" thickBot="1" x14ac:dyDescent="0.35">
      <c r="A152" s="4" t="s">
        <v>11</v>
      </c>
      <c r="B152" s="3" t="e">
        <f t="shared" ref="B152:C155" si="12">B94/B$12</f>
        <v>#VALUE!</v>
      </c>
      <c r="C152" s="3">
        <f t="shared" si="12"/>
        <v>0.88163129973474785</v>
      </c>
      <c r="D152" s="9">
        <f>I105</f>
        <v>774.77297838270613</v>
      </c>
    </row>
    <row r="153" spans="1:9" ht="27" thickBot="1" x14ac:dyDescent="0.35">
      <c r="A153" s="4" t="s">
        <v>12</v>
      </c>
      <c r="B153" s="3" t="e">
        <f t="shared" si="12"/>
        <v>#VALUE!</v>
      </c>
      <c r="C153" s="3">
        <f t="shared" si="12"/>
        <v>2.000331564986737</v>
      </c>
      <c r="D153" s="9">
        <f>I106</f>
        <v>1717.732566052842</v>
      </c>
    </row>
    <row r="154" spans="1:9" ht="40.200000000000003" thickBot="1" x14ac:dyDescent="0.35">
      <c r="A154" s="4" t="s">
        <v>13</v>
      </c>
      <c r="B154" s="3" t="e">
        <f t="shared" si="12"/>
        <v>#VALUE!</v>
      </c>
      <c r="C154" s="3">
        <f t="shared" si="12"/>
        <v>1.0596816976127321</v>
      </c>
      <c r="D154" s="9">
        <f>I107</f>
        <v>849.64959967974369</v>
      </c>
    </row>
    <row r="155" spans="1:9" ht="15" thickBot="1" x14ac:dyDescent="0.35">
      <c r="A155" s="4" t="s">
        <v>14</v>
      </c>
      <c r="B155" s="3" t="e">
        <f t="shared" si="12"/>
        <v>#VALUE!</v>
      </c>
      <c r="C155" s="3">
        <f t="shared" si="12"/>
        <v>1.1405835543766578</v>
      </c>
      <c r="D155" s="9">
        <f>I108</f>
        <v>899.948398718975</v>
      </c>
    </row>
    <row r="156" spans="1:9" ht="15" thickBot="1" x14ac:dyDescent="0.35">
      <c r="A156" s="16" t="s">
        <v>9</v>
      </c>
      <c r="B156" s="14" t="e">
        <f>SUM(B151:B155)</f>
        <v>#VALUE!</v>
      </c>
      <c r="C156" s="14">
        <f>SUM(C151:C155)</f>
        <v>5.2997347480106098</v>
      </c>
      <c r="D156" s="14">
        <f>SUM(D151:D155)</f>
        <v>4460.5889511609284</v>
      </c>
      <c r="E156" s="15"/>
      <c r="F156" s="15"/>
      <c r="G156" s="15"/>
      <c r="H156" s="15"/>
    </row>
  </sheetData>
  <mergeCells count="34">
    <mergeCell ref="A3:A12"/>
    <mergeCell ref="B3:J3"/>
    <mergeCell ref="B4:J4"/>
    <mergeCell ref="B5:B6"/>
    <mergeCell ref="C5:F5"/>
    <mergeCell ref="G5:J5"/>
    <mergeCell ref="B16:B17"/>
    <mergeCell ref="C16:F16"/>
    <mergeCell ref="H16:H17"/>
    <mergeCell ref="I16:L16"/>
    <mergeCell ref="B26:B27"/>
    <mergeCell ref="C26:F26"/>
    <mergeCell ref="H26:H27"/>
    <mergeCell ref="I26:L26"/>
    <mergeCell ref="B37:B38"/>
    <mergeCell ref="C37:E37"/>
    <mergeCell ref="B52:B53"/>
    <mergeCell ref="C52:F52"/>
    <mergeCell ref="B71:B72"/>
    <mergeCell ref="C71:F71"/>
    <mergeCell ref="A91:A92"/>
    <mergeCell ref="B91:D91"/>
    <mergeCell ref="F91:F92"/>
    <mergeCell ref="G91:I91"/>
    <mergeCell ref="A102:A103"/>
    <mergeCell ref="B102:D102"/>
    <mergeCell ref="F102:F103"/>
    <mergeCell ref="G102:I102"/>
    <mergeCell ref="A113:A114"/>
    <mergeCell ref="B113:D113"/>
    <mergeCell ref="A127:A128"/>
    <mergeCell ref="B127:D127"/>
    <mergeCell ref="A149:A150"/>
    <mergeCell ref="B149:D14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12683E13687840A5980A59BFD80B43" ma:contentTypeVersion="0" ma:contentTypeDescription="Create a new document." ma:contentTypeScope="" ma:versionID="60029ab207041bc6540c624c4e31f7e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04B375-CCE1-40FA-9F31-D4FBD8D92927}"/>
</file>

<file path=customXml/itemProps2.xml><?xml version="1.0" encoding="utf-8"?>
<ds:datastoreItem xmlns:ds="http://schemas.openxmlformats.org/officeDocument/2006/customXml" ds:itemID="{8EF7BC5B-06B7-4B29-80D1-9CC724E9D722}"/>
</file>

<file path=customXml/itemProps3.xml><?xml version="1.0" encoding="utf-8"?>
<ds:datastoreItem xmlns:ds="http://schemas.openxmlformats.org/officeDocument/2006/customXml" ds:itemID="{4F00AE9E-9BD0-4C92-B691-D4652FFFEE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2021-10-18T12:30:03Z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0x010100A412683E13687840A5980A59BFD80B43</vt:lpwstr>
  </property>
</Properties>
</file>