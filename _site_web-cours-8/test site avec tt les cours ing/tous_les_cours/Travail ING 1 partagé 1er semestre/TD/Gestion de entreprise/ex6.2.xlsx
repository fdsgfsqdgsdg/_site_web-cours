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ownloads\"/>
    </mc:Choice>
  </mc:AlternateContent>
  <xr:revisionPtr revIDLastSave="0" documentId="13_ncr:1_{0DE5482E-05E0-4C7A-A9FF-B558DCF1A735}" xr6:coauthVersionLast="36" xr6:coauthVersionMax="36" xr10:uidLastSave="{00000000-0000-0000-0000-000000000000}"/>
  <bookViews>
    <workbookView xWindow="0" yWindow="0" windowWidth="19008" windowHeight="9060" xr2:uid="{03CF2B17-962D-42AA-9B79-F91CFF97776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" i="1" l="1"/>
  <c r="B24" i="1" l="1"/>
  <c r="D23" i="1" s="1"/>
</calcChain>
</file>

<file path=xl/sharedStrings.xml><?xml version="1.0" encoding="utf-8"?>
<sst xmlns="http://schemas.openxmlformats.org/spreadsheetml/2006/main" count="63" uniqueCount="31">
  <si>
    <t>Actif</t>
  </si>
  <si>
    <t>Montants</t>
  </si>
  <si>
    <t>Passif</t>
  </si>
  <si>
    <t>Actif immobilisé</t>
  </si>
  <si>
    <t>Capitaux</t>
  </si>
  <si>
    <t>Capital</t>
  </si>
  <si>
    <t>Actif circulant</t>
  </si>
  <si>
    <t>Dettes LT</t>
  </si>
  <si>
    <t>Actifs de trésorerie</t>
  </si>
  <si>
    <t>Dettes CT</t>
  </si>
  <si>
    <t>Total</t>
  </si>
  <si>
    <t>Dettes fournisseurs</t>
  </si>
  <si>
    <t>Créance clients</t>
  </si>
  <si>
    <t>Immeuble</t>
  </si>
  <si>
    <t>Terrain</t>
  </si>
  <si>
    <t>Emprunt</t>
  </si>
  <si>
    <t>Dettes fournisseur</t>
  </si>
  <si>
    <t>Banque</t>
  </si>
  <si>
    <t>Stock de marchandises</t>
  </si>
  <si>
    <t>Caisse</t>
  </si>
  <si>
    <t>Clients</t>
  </si>
  <si>
    <t>N°</t>
  </si>
  <si>
    <t>Libellé</t>
  </si>
  <si>
    <t>Débit</t>
  </si>
  <si>
    <t>Crédit</t>
  </si>
  <si>
    <t>Vente de marchandises</t>
  </si>
  <si>
    <t>Achat de Marchandises</t>
  </si>
  <si>
    <t>Achat de marchandises</t>
  </si>
  <si>
    <t xml:space="preserve">resultat </t>
  </si>
  <si>
    <t>Compte de l'exploitant</t>
  </si>
  <si>
    <t>banque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</si>
</sst>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&quot;€&quot;"/>
  </numFmts>
  <fonts count="8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Aptos Narrow"/>
      <family val="2"/>
    </font>
    <font>
      <sz val="10"/>
      <color rgb="FF000000"/>
      <name val="Arial"/>
      <charset val="1"/>
    </font>
    <font>
      <sz val="11"/>
      <color rgb="FF000000"/>
      <name val="Aptos Narrow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theme="0"/>
        <bgColor rgb="FF0000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/>
    <xf numFmtId="0" fontId="1" fillId="3" borderId="2" xfId="0" applyFont="1" applyFill="1" applyBorder="1"/>
    <xf numFmtId="0" fontId="2" fillId="3" borderId="1" xfId="0" applyFont="1" applyFill="1" applyBorder="1"/>
    <xf numFmtId="0" fontId="1" fillId="3" borderId="3" xfId="0" applyFont="1" applyFill="1" applyBorder="1"/>
    <xf numFmtId="0" fontId="2" fillId="4" borderId="1" xfId="0" applyFont="1" applyFill="1" applyBorder="1"/>
    <xf numFmtId="8" fontId="2" fillId="4" borderId="1" xfId="0" applyNumberFormat="1" applyFont="1" applyFill="1" applyBorder="1"/>
    <xf numFmtId="0" fontId="2" fillId="0" borderId="1" xfId="0" applyFont="1" applyBorder="1"/>
    <xf numFmtId="0" fontId="2" fillId="5" borderId="1" xfId="0" applyFont="1" applyFill="1" applyBorder="1"/>
    <xf numFmtId="0" fontId="1" fillId="3" borderId="4" xfId="0" applyFont="1" applyFill="1" applyBorder="1"/>
    <xf numFmtId="0" fontId="2" fillId="3" borderId="5" xfId="0" applyFont="1" applyFill="1" applyBorder="1"/>
    <xf numFmtId="0" fontId="3" fillId="0" borderId="0" xfId="0" applyFont="1"/>
    <xf numFmtId="0" fontId="1" fillId="6" borderId="1" xfId="0" applyFont="1" applyFill="1" applyBorder="1"/>
    <xf numFmtId="8" fontId="1" fillId="7" borderId="7" xfId="0" applyNumberFormat="1" applyFont="1" applyFill="1" applyBorder="1"/>
    <xf numFmtId="0" fontId="4" fillId="0" borderId="8" xfId="0" applyFont="1" applyBorder="1" applyAlignment="1">
      <alignment readingOrder="1"/>
    </xf>
    <xf numFmtId="0" fontId="4" fillId="0" borderId="9" xfId="0" applyFont="1" applyBorder="1" applyAlignment="1">
      <alignment readingOrder="1"/>
    </xf>
    <xf numFmtId="0" fontId="5" fillId="0" borderId="0" xfId="0" applyFont="1"/>
    <xf numFmtId="0" fontId="6" fillId="0" borderId="1" xfId="0" applyFont="1" applyBorder="1"/>
    <xf numFmtId="0" fontId="7" fillId="3" borderId="3" xfId="0" applyFont="1" applyFill="1" applyBorder="1"/>
    <xf numFmtId="164" fontId="6" fillId="0" borderId="1" xfId="0" applyNumberFormat="1" applyFont="1" applyBorder="1"/>
    <xf numFmtId="164" fontId="6" fillId="5" borderId="1" xfId="0" applyNumberFormat="1" applyFont="1" applyFill="1" applyBorder="1"/>
    <xf numFmtId="164" fontId="3" fillId="5" borderId="1" xfId="0" applyNumberFormat="1" applyFont="1" applyFill="1" applyBorder="1"/>
    <xf numFmtId="0" fontId="6" fillId="4" borderId="6" xfId="0" applyFont="1" applyFill="1" applyBorder="1"/>
    <xf numFmtId="0" fontId="6" fillId="4" borderId="1" xfId="0" applyFont="1" applyFill="1" applyBorder="1"/>
    <xf numFmtId="8" fontId="2" fillId="4" borderId="0" xfId="0" applyNumberFormat="1" applyFont="1" applyFill="1" applyBorder="1"/>
    <xf numFmtId="0" fontId="6" fillId="4" borderId="0" xfId="0" applyFont="1" applyFill="1" applyBorder="1"/>
    <xf numFmtId="8" fontId="2" fillId="4" borderId="5" xfId="0" applyNumberFormat="1" applyFont="1" applyFill="1" applyBorder="1"/>
    <xf numFmtId="0" fontId="2" fillId="0" borderId="3" xfId="0" applyFont="1" applyBorder="1"/>
    <xf numFmtId="16" fontId="3" fillId="8" borderId="0" xfId="0" applyNumberFormat="1" applyFont="1" applyFill="1"/>
    <xf numFmtId="164" fontId="3" fillId="0" borderId="0" xfId="0" applyNumberFormat="1" applyFont="1"/>
    <xf numFmtId="0" fontId="3" fillId="9" borderId="0" xfId="0" applyFont="1" applyFill="1"/>
    <xf numFmtId="0" fontId="4" fillId="0" borderId="10" xfId="0" applyFont="1" applyBorder="1" applyAlignment="1">
      <alignment readingOrder="1"/>
    </xf>
    <xf numFmtId="0" fontId="4" fillId="0" borderId="0" xfId="0" applyFont="1" applyBorder="1" applyAlignment="1">
      <alignment readingOrder="1"/>
    </xf>
    <xf numFmtId="0" fontId="6" fillId="0" borderId="3" xfId="0" applyFont="1" applyBorder="1"/>
    <xf numFmtId="0" fontId="1" fillId="3" borderId="11" xfId="0" applyFont="1" applyFill="1" applyBorder="1"/>
    <xf numFmtId="0" fontId="6" fillId="4" borderId="10" xfId="0" applyFont="1" applyFill="1" applyBorder="1"/>
    <xf numFmtId="0" fontId="1" fillId="3" borderId="10" xfId="0" applyFont="1" applyFill="1" applyBorder="1"/>
    <xf numFmtId="8" fontId="1" fillId="7" borderId="12" xfId="0" applyNumberFormat="1" applyFont="1" applyFill="1" applyBorder="1"/>
    <xf numFmtId="8" fontId="1" fillId="7" borderId="13" xfId="0" applyNumberFormat="1" applyFont="1" applyFill="1" applyBorder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0F22-040C-4D30-A961-FAD8F799225D}">
  <dimension ref="A1:I34"/>
  <sheetViews>
    <sheetView tabSelected="1" zoomScaleNormal="100" workbookViewId="0">
      <selection activeCell="H11" sqref="H11"/>
    </sheetView>
  </sheetViews>
  <sheetFormatPr baseColWidth="10" defaultRowHeight="14.4"/>
  <cols>
    <col min="1" max="1" width="32.77734375" customWidth="1"/>
    <col min="2" max="2" width="34.44140625" customWidth="1"/>
    <col min="3" max="3" width="27.77734375" customWidth="1"/>
    <col min="4" max="4" width="29.77734375" customWidth="1"/>
    <col min="7" max="7" width="31.21875" customWidth="1"/>
    <col min="8" max="8" width="12.6640625" bestFit="1" customWidth="1"/>
    <col min="9" max="9" width="12.886718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1</v>
      </c>
      <c r="F1" s="16" t="s">
        <v>21</v>
      </c>
      <c r="G1" s="11" t="s">
        <v>22</v>
      </c>
      <c r="H1" s="11" t="s">
        <v>23</v>
      </c>
      <c r="I1" s="11" t="s">
        <v>24</v>
      </c>
    </row>
    <row r="2" spans="1:9">
      <c r="A2" s="2" t="s">
        <v>3</v>
      </c>
      <c r="B2" s="3"/>
      <c r="C2" s="4" t="s">
        <v>4</v>
      </c>
      <c r="D2" s="3"/>
      <c r="F2" s="16"/>
      <c r="G2" s="28">
        <v>45292</v>
      </c>
      <c r="H2" s="11"/>
      <c r="I2" s="11"/>
    </row>
    <row r="3" spans="1:9">
      <c r="A3" s="5" t="s">
        <v>13</v>
      </c>
      <c r="B3" s="6">
        <v>1000000</v>
      </c>
      <c r="C3" s="7" t="s">
        <v>5</v>
      </c>
      <c r="D3" s="19">
        <v>1100000</v>
      </c>
      <c r="F3" s="16"/>
      <c r="G3" s="11" t="s">
        <v>27</v>
      </c>
      <c r="H3" s="29">
        <v>46000</v>
      </c>
      <c r="I3" s="29"/>
    </row>
    <row r="4" spans="1:9">
      <c r="A4" s="5" t="s">
        <v>14</v>
      </c>
      <c r="B4" s="6">
        <v>90000</v>
      </c>
      <c r="C4" s="4" t="s">
        <v>7</v>
      </c>
      <c r="D4" s="20"/>
      <c r="F4" s="16"/>
      <c r="G4" s="11" t="s">
        <v>17</v>
      </c>
      <c r="H4" s="29"/>
      <c r="I4" s="29">
        <v>23000</v>
      </c>
    </row>
    <row r="5" spans="1:9">
      <c r="A5" s="2" t="s">
        <v>6</v>
      </c>
      <c r="B5" s="8"/>
      <c r="C5" s="7" t="s">
        <v>15</v>
      </c>
      <c r="D5" s="19">
        <v>273000</v>
      </c>
      <c r="F5" s="16"/>
      <c r="G5" s="11" t="s">
        <v>16</v>
      </c>
      <c r="H5" s="29"/>
      <c r="I5" s="29">
        <v>23000</v>
      </c>
    </row>
    <row r="6" spans="1:9">
      <c r="A6" s="23" t="s">
        <v>18</v>
      </c>
      <c r="B6" s="6">
        <v>300000</v>
      </c>
      <c r="C6" s="18" t="s">
        <v>9</v>
      </c>
      <c r="D6" s="21"/>
      <c r="F6" s="16"/>
      <c r="G6" s="28">
        <v>45293</v>
      </c>
      <c r="H6" s="29"/>
      <c r="I6" s="29"/>
    </row>
    <row r="7" spans="1:9">
      <c r="A7" s="25" t="s">
        <v>20</v>
      </c>
      <c r="B7" s="26">
        <v>250000</v>
      </c>
      <c r="C7" s="17" t="s">
        <v>16</v>
      </c>
      <c r="D7" s="19">
        <v>327000</v>
      </c>
      <c r="F7" s="16"/>
      <c r="G7" s="11" t="s">
        <v>25</v>
      </c>
      <c r="H7" s="29"/>
      <c r="I7" s="29">
        <v>160000</v>
      </c>
    </row>
    <row r="8" spans="1:9">
      <c r="A8" s="9" t="s">
        <v>8</v>
      </c>
      <c r="B8" s="10"/>
      <c r="C8" s="27"/>
      <c r="D8" s="19"/>
      <c r="F8" s="16"/>
      <c r="G8" s="30" t="s">
        <v>17</v>
      </c>
      <c r="H8" s="29">
        <v>80000</v>
      </c>
      <c r="I8" s="29"/>
    </row>
    <row r="9" spans="1:9">
      <c r="A9" s="22" t="s">
        <v>17</v>
      </c>
      <c r="B9" s="6">
        <v>57000</v>
      </c>
      <c r="C9" s="7"/>
      <c r="D9" s="19"/>
      <c r="F9" s="16"/>
      <c r="G9" s="11" t="s">
        <v>12</v>
      </c>
      <c r="H9" s="29">
        <v>80000</v>
      </c>
      <c r="I9" s="29"/>
    </row>
    <row r="10" spans="1:9">
      <c r="A10" s="22" t="s">
        <v>19</v>
      </c>
      <c r="B10" s="24">
        <v>3000</v>
      </c>
      <c r="C10" s="27"/>
      <c r="D10" s="19"/>
      <c r="F10" s="16"/>
      <c r="G10" s="28">
        <v>45294</v>
      </c>
      <c r="H10" s="29"/>
      <c r="I10" s="29"/>
    </row>
    <row r="11" spans="1:9">
      <c r="A11" s="12" t="s">
        <v>10</v>
      </c>
      <c r="B11" s="13">
        <v>1700000</v>
      </c>
      <c r="C11" s="12" t="s">
        <v>10</v>
      </c>
      <c r="D11" s="13">
        <v>1700000</v>
      </c>
      <c r="F11" s="16"/>
      <c r="G11" s="11" t="s">
        <v>26</v>
      </c>
      <c r="H11" s="29">
        <v>80</v>
      </c>
      <c r="I11" s="29"/>
    </row>
    <row r="12" spans="1:9">
      <c r="A12" s="14"/>
      <c r="B12" s="15"/>
      <c r="C12" s="11"/>
      <c r="D12" s="15"/>
      <c r="F12" s="11"/>
      <c r="G12" s="11" t="s">
        <v>17</v>
      </c>
      <c r="H12" s="29"/>
      <c r="I12" s="29">
        <v>80</v>
      </c>
    </row>
    <row r="13" spans="1:9">
      <c r="A13" s="31"/>
      <c r="B13" s="32"/>
      <c r="C13" s="11"/>
      <c r="D13" s="32"/>
      <c r="F13" s="16"/>
      <c r="G13" s="28">
        <v>45298</v>
      </c>
      <c r="H13" s="29"/>
      <c r="I13" s="29"/>
    </row>
    <row r="14" spans="1:9">
      <c r="A14" s="1" t="s">
        <v>0</v>
      </c>
      <c r="B14" s="1" t="s">
        <v>1</v>
      </c>
      <c r="C14" s="1" t="s">
        <v>2</v>
      </c>
      <c r="D14" s="1" t="s">
        <v>1</v>
      </c>
      <c r="F14" s="16"/>
      <c r="G14" s="11" t="s">
        <v>17</v>
      </c>
      <c r="H14" s="29"/>
      <c r="I14" s="29">
        <v>4000</v>
      </c>
    </row>
    <row r="15" spans="1:9">
      <c r="A15" s="34" t="s">
        <v>3</v>
      </c>
      <c r="B15" s="3"/>
      <c r="C15" s="4" t="s">
        <v>4</v>
      </c>
      <c r="D15" s="3"/>
      <c r="F15" s="16"/>
      <c r="G15" s="28">
        <v>45299</v>
      </c>
      <c r="H15" s="29"/>
      <c r="I15" s="29"/>
    </row>
    <row r="16" spans="1:9">
      <c r="A16" s="5" t="s">
        <v>13</v>
      </c>
      <c r="B16" s="6">
        <v>1000000</v>
      </c>
      <c r="C16" s="7" t="s">
        <v>5</v>
      </c>
      <c r="D16" s="19">
        <v>1100000</v>
      </c>
      <c r="F16" s="16"/>
      <c r="G16" s="11" t="s">
        <v>27</v>
      </c>
      <c r="H16" s="29">
        <v>75000</v>
      </c>
      <c r="I16" s="29"/>
    </row>
    <row r="17" spans="1:9">
      <c r="A17" s="5" t="s">
        <v>14</v>
      </c>
      <c r="B17" s="6">
        <v>90000</v>
      </c>
      <c r="C17" s="4" t="s">
        <v>7</v>
      </c>
      <c r="D17" s="20"/>
      <c r="F17" s="16"/>
      <c r="G17" s="11" t="s">
        <v>16</v>
      </c>
      <c r="H17" s="29"/>
      <c r="I17" s="29">
        <v>75000</v>
      </c>
    </row>
    <row r="18" spans="1:9">
      <c r="A18" s="34" t="s">
        <v>6</v>
      </c>
      <c r="B18" s="8"/>
      <c r="C18" s="7" t="s">
        <v>15</v>
      </c>
      <c r="D18" s="19">
        <v>136500</v>
      </c>
      <c r="F18" s="16"/>
      <c r="G18" s="28">
        <v>45301</v>
      </c>
      <c r="H18" s="29"/>
      <c r="I18" s="29"/>
    </row>
    <row r="19" spans="1:9">
      <c r="A19" s="23" t="s">
        <v>18</v>
      </c>
      <c r="B19" s="6">
        <v>250000</v>
      </c>
      <c r="C19" s="18" t="s">
        <v>9</v>
      </c>
      <c r="D19" s="21"/>
      <c r="F19" s="16"/>
      <c r="G19" s="11" t="s">
        <v>11</v>
      </c>
      <c r="H19" s="29">
        <v>136500</v>
      </c>
      <c r="I19" s="29"/>
    </row>
    <row r="20" spans="1:9">
      <c r="A20" s="35" t="s">
        <v>20</v>
      </c>
      <c r="B20" s="26">
        <v>330000</v>
      </c>
      <c r="C20" s="17" t="s">
        <v>16</v>
      </c>
      <c r="D20" s="19">
        <v>425000</v>
      </c>
      <c r="F20" s="16"/>
      <c r="G20" s="11" t="s">
        <v>17</v>
      </c>
      <c r="H20" s="29"/>
      <c r="I20" s="29">
        <v>136500</v>
      </c>
    </row>
    <row r="21" spans="1:9">
      <c r="A21" s="36" t="s">
        <v>8</v>
      </c>
      <c r="B21" s="10"/>
      <c r="C21" s="22" t="s">
        <v>29</v>
      </c>
      <c r="D21" s="6">
        <v>-80</v>
      </c>
      <c r="E21" s="39"/>
      <c r="F21" s="16"/>
      <c r="G21" s="28">
        <v>45302</v>
      </c>
      <c r="H21" s="29"/>
      <c r="I21" s="29"/>
    </row>
    <row r="22" spans="1:9">
      <c r="A22" s="22" t="s">
        <v>19</v>
      </c>
      <c r="B22" s="6">
        <v>2000</v>
      </c>
      <c r="C22" s="33" t="s">
        <v>30</v>
      </c>
      <c r="D22" s="19">
        <v>25580</v>
      </c>
      <c r="F22" s="16"/>
      <c r="G22" s="11" t="s">
        <v>19</v>
      </c>
      <c r="H22" s="29"/>
      <c r="I22" s="29">
        <v>1000</v>
      </c>
    </row>
    <row r="23" spans="1:9">
      <c r="A23" s="33"/>
      <c r="B23" s="19"/>
      <c r="C23" s="33" t="s">
        <v>28</v>
      </c>
      <c r="D23" s="19">
        <f>SUM(B24-D24)</f>
        <v>-15000</v>
      </c>
      <c r="F23" s="16"/>
      <c r="G23" s="11" t="s">
        <v>17</v>
      </c>
      <c r="H23" s="29">
        <v>1000</v>
      </c>
      <c r="I23" s="29"/>
    </row>
    <row r="24" spans="1:9">
      <c r="A24" s="12" t="s">
        <v>10</v>
      </c>
      <c r="B24" s="37">
        <f>SUM(B16:B23)</f>
        <v>1672000</v>
      </c>
      <c r="C24" s="12" t="s">
        <v>10</v>
      </c>
      <c r="D24" s="38">
        <f>SUM(D14:D22)</f>
        <v>1687000</v>
      </c>
      <c r="F24" s="16"/>
    </row>
    <row r="25" spans="1:9">
      <c r="F25" s="16"/>
    </row>
    <row r="26" spans="1:9">
      <c r="F26" s="16"/>
    </row>
    <row r="27" spans="1:9">
      <c r="F27" s="16"/>
    </row>
    <row r="28" spans="1:9">
      <c r="F28" s="16"/>
    </row>
    <row r="29" spans="1:9">
      <c r="F29" s="16"/>
    </row>
    <row r="30" spans="1:9">
      <c r="F30" s="16"/>
    </row>
    <row r="31" spans="1:9">
      <c r="F31" s="16"/>
    </row>
    <row r="32" spans="1:9">
      <c r="F32" s="11"/>
    </row>
    <row r="33" spans="6:6">
      <c r="F33" s="11"/>
    </row>
    <row r="34" spans="6:6">
      <c r="F34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Gavioli</dc:creator>
  <cp:lastModifiedBy>Victor Gavioli</cp:lastModifiedBy>
  <dcterms:created xsi:type="dcterms:W3CDTF">2024-10-25T07:12:55Z</dcterms:created>
  <dcterms:modified xsi:type="dcterms:W3CDTF">2024-10-25T09:36:32Z</dcterms:modified>
</cp:coreProperties>
</file>